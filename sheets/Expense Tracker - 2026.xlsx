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026" sheetId="1" r:id="rId5"/>
    <sheet state="visible" name="Feb-2026" sheetId="2" r:id="rId6"/>
    <sheet state="visible" name="March-2026" sheetId="3" r:id="rId7"/>
    <sheet state="visible" name="April-2026" sheetId="4" r:id="rId8"/>
    <sheet state="visible" name="May-2026" sheetId="5" r:id="rId9"/>
    <sheet state="visible" name="June-2026" sheetId="6" r:id="rId10"/>
    <sheet state="visible" name="July-2026" sheetId="7" r:id="rId11"/>
    <sheet state="visible" name="Aug-2026" sheetId="8" r:id="rId12"/>
    <sheet state="visible" name="Sept-2026" sheetId="9" r:id="rId13"/>
    <sheet state="visible" name="Oct-2026" sheetId="10" r:id="rId14"/>
  </sheets>
  <definedNames/>
  <calcPr/>
</workbook>
</file>

<file path=xl/sharedStrings.xml><?xml version="1.0" encoding="utf-8"?>
<sst xmlns="http://schemas.openxmlformats.org/spreadsheetml/2006/main" count="2474" uniqueCount="281">
  <si>
    <t>My salary</t>
  </si>
  <si>
    <t>Chandu Salary</t>
  </si>
  <si>
    <t>Total Salary</t>
  </si>
  <si>
    <t>Total Savings</t>
  </si>
  <si>
    <t>Total Expenses</t>
  </si>
  <si>
    <t>Mutual Fund tracking</t>
  </si>
  <si>
    <t>Total Investments 
as on Feb EOD</t>
  </si>
  <si>
    <t>Total Investments 
as on April EOD</t>
  </si>
  <si>
    <t>Total Investments 
as on Jan EOD</t>
  </si>
  <si>
    <t>Total Profit</t>
  </si>
  <si>
    <t>Total Investment</t>
  </si>
  <si>
    <t>Percentage Of returns</t>
  </si>
  <si>
    <t>All these are with Chandu now</t>
  </si>
  <si>
    <t>transferred 2.15L from hari SBI</t>
  </si>
  <si>
    <t>Salary</t>
  </si>
  <si>
    <t>Total Investments 
as on March EOD</t>
  </si>
  <si>
    <t>broken 55k fd from chandu hdfc</t>
  </si>
  <si>
    <t xml:space="preserve">Loan + Sending to Nandyal </t>
  </si>
  <si>
    <t>Done</t>
  </si>
  <si>
    <t>Already given 10k to home</t>
  </si>
  <si>
    <t>Transfered 65k from icici broken fd of 14k</t>
  </si>
  <si>
    <t>Mutual Funds &amp; Stocks</t>
  </si>
  <si>
    <t>Fund Name</t>
  </si>
  <si>
    <t>Units</t>
  </si>
  <si>
    <t>Investment Value</t>
  </si>
  <si>
    <t>transfered 60k from mother kotak (50k money from BSE)</t>
  </si>
  <si>
    <t>Home Expenses</t>
  </si>
  <si>
    <t>Axis Greated china fund foreign</t>
  </si>
  <si>
    <t>Column 1</t>
  </si>
  <si>
    <t>broken 25k fd in hari kotak</t>
  </si>
  <si>
    <t>Emergency fund</t>
  </si>
  <si>
    <t>Canara robeco Large Cap</t>
  </si>
  <si>
    <t>2.5k Amazon vouchers + Transferred 21.5k (Withdraw 6.5k)</t>
  </si>
  <si>
    <t>Replacement of LIC</t>
  </si>
  <si>
    <t>transferred 50k from hari axis</t>
  </si>
  <si>
    <t>IPO Profits</t>
  </si>
  <si>
    <t>Misc Exp</t>
  </si>
  <si>
    <t>2.5k Amazon vouchers</t>
  </si>
  <si>
    <t>Edelweiss Business cycle fund</t>
  </si>
  <si>
    <t>Axis Global Equity Alpha Fund of Fund</t>
  </si>
  <si>
    <t>transfered 5L (Bonus &amp; Investment for Oct Salary)</t>
  </si>
  <si>
    <t>RD for Insurance</t>
  </si>
  <si>
    <t>Edelweiss Nifty500 Multicap Momentum</t>
  </si>
  <si>
    <t>Paytm bank money tracking</t>
  </si>
  <si>
    <t>Long term</t>
  </si>
  <si>
    <t>House Rent</t>
  </si>
  <si>
    <t>Axis Greater China Equity fund of fund</t>
  </si>
  <si>
    <t>HDFC Balanced Advantage Fund Large cap</t>
  </si>
  <si>
    <t>Replacment of FD in bank</t>
  </si>
  <si>
    <t xml:space="preserve">Opening balance </t>
  </si>
  <si>
    <t>Closing Balance</t>
  </si>
  <si>
    <t>Gold(Mother Acc)</t>
  </si>
  <si>
    <t>ICICI Season bond</t>
  </si>
  <si>
    <t>Travel Savings (Mother Account)</t>
  </si>
  <si>
    <t>Invesco India Arbitrage fund</t>
  </si>
  <si>
    <t>For Emergency fund</t>
  </si>
  <si>
    <t>APY</t>
  </si>
  <si>
    <t>JM Aggressive</t>
  </si>
  <si>
    <t>For Bike Purpose</t>
  </si>
  <si>
    <t>Replacement of LIC - Not investing currently</t>
  </si>
  <si>
    <t>Transfered 2.3L from Hari kotak to mother</t>
  </si>
  <si>
    <t>RD For God</t>
  </si>
  <si>
    <t>Kotak Small Cap</t>
  </si>
  <si>
    <t>PF Money</t>
  </si>
  <si>
    <t>Kotak bank money tracking</t>
  </si>
  <si>
    <t>Investments</t>
  </si>
  <si>
    <t>Transfered 4.7L from hari kotak to chandana</t>
  </si>
  <si>
    <t>EMI - RD - Started on Sept 2024</t>
  </si>
  <si>
    <t>Kotak Equity Arbitrage fund</t>
  </si>
  <si>
    <t>Will close once it comes profit</t>
  </si>
  <si>
    <t>EMI Money</t>
  </si>
  <si>
    <t>Opening balance</t>
  </si>
  <si>
    <t>Tax</t>
  </si>
  <si>
    <t>Mirae asset Global X Artificial foreign</t>
  </si>
  <si>
    <t>transferred 9.7L from all banks</t>
  </si>
  <si>
    <t>Transferred 4.7L to Chandu &amp; 2.3L Mother Kotak</t>
  </si>
  <si>
    <t>Edelweiss Small cap</t>
  </si>
  <si>
    <t>Mirae asset health care Small cap</t>
  </si>
  <si>
    <t>PF</t>
  </si>
  <si>
    <t>Options trading Profit</t>
  </si>
  <si>
    <t>Mirea asset Large Cap</t>
  </si>
  <si>
    <t>SBI money tracking Chandana</t>
  </si>
  <si>
    <t>Home Renewal</t>
  </si>
  <si>
    <t>Mobile</t>
  </si>
  <si>
    <t>Mirea assest NYSG Foreign</t>
  </si>
  <si>
    <t>Motilal oswal foreign</t>
  </si>
  <si>
    <t>Remaining money</t>
  </si>
  <si>
    <t>HDFC Low duration fund</t>
  </si>
  <si>
    <t>Motilal oswal micro cap</t>
  </si>
  <si>
    <t>Old bridge focused Equity fund Large cap</t>
  </si>
  <si>
    <t>Paragh parik Large cap</t>
  </si>
  <si>
    <t>Kotak bank money tracking Mother</t>
  </si>
  <si>
    <t>God Money</t>
  </si>
  <si>
    <t>Quant Small Cap</t>
  </si>
  <si>
    <t>ICICI Prudential Aggressive Hybrid Active fund of fund</t>
  </si>
  <si>
    <t>rcvd 5k from GHCL buyback</t>
  </si>
  <si>
    <t>Rcvd 26k from Zerodha (12K options profit)</t>
  </si>
  <si>
    <t>SBI Small cap</t>
  </si>
  <si>
    <t>Hari - Stocks bought in March</t>
  </si>
  <si>
    <t>given money to sister 80k</t>
  </si>
  <si>
    <t>Rcvd 2.3L from Hari Kotak</t>
  </si>
  <si>
    <t>49k from Hari Axis</t>
  </si>
  <si>
    <t>5k is GHCL buy back (used 2k for bus bookings &amp; lucky dip) &amp; 8k used in Gold (with zerodha money instead of adding)</t>
  </si>
  <si>
    <t>SBI technologies fund Small cap</t>
  </si>
  <si>
    <t>UTI Nifty 200 Momentum 30 Index Large cap</t>
  </si>
  <si>
    <t>Stocks</t>
  </si>
  <si>
    <t>Icici money tracking</t>
  </si>
  <si>
    <t>IRCTC</t>
  </si>
  <si>
    <t>Diff Amount</t>
  </si>
  <si>
    <t>Dam Capital</t>
  </si>
  <si>
    <t>Transferred 5.65L to hari Kotak</t>
  </si>
  <si>
    <t>Protean</t>
  </si>
  <si>
    <t>Mirae Asset Small Cap Fund</t>
  </si>
  <si>
    <t>Rcvd 123378 from zerodha</t>
  </si>
  <si>
    <t>ICICI Prudential Thematic Advantage Fund</t>
  </si>
  <si>
    <t>ICICI Prudential Savings Fund</t>
  </si>
  <si>
    <t>paid 20k to mobile emi for sister and ( Trasferred 1Lakh to wife)</t>
  </si>
  <si>
    <t>SBI money tracking Hari</t>
  </si>
  <si>
    <t>For Tax &amp; Bonus</t>
  </si>
  <si>
    <t>Chandana - Mutual Fund tracking</t>
  </si>
  <si>
    <t>Withdraw 9k for home &amp; take 3.5k Amazon vouchers</t>
  </si>
  <si>
    <t>transferred 2.15L to hari kotak</t>
  </si>
  <si>
    <t>Moving this money to Small cap</t>
  </si>
  <si>
    <t>Niyo Global money tracking Hari</t>
  </si>
  <si>
    <t>Surplus money for 
kid investment (home exp)</t>
  </si>
  <si>
    <t>For</t>
  </si>
  <si>
    <t>Column 5</t>
  </si>
  <si>
    <t>Month end excess Balance</t>
  </si>
  <si>
    <t>Withdraw 2.5k</t>
  </si>
  <si>
    <t>PF Money -  Not investing currently</t>
  </si>
  <si>
    <t>Axis money tracking Hari</t>
  </si>
  <si>
    <t>Long term -  Not investing currently</t>
  </si>
  <si>
    <t>With draw 7k</t>
  </si>
  <si>
    <t>For Long term</t>
  </si>
  <si>
    <t>Mirea Asset Liquid fund</t>
  </si>
  <si>
    <t>withdraw 6.4k for ipo profit</t>
  </si>
  <si>
    <t>Emergency Money</t>
  </si>
  <si>
    <t>Mirea assest FANG Foreign</t>
  </si>
  <si>
    <t>IPO PROFITS</t>
  </si>
  <si>
    <t>Transfered 50k to Chandu &amp; 49k to Mother Kotak</t>
  </si>
  <si>
    <t>Given 10k to Divya</t>
  </si>
  <si>
    <t>Quant Momentum Fund</t>
  </si>
  <si>
    <t>Bought wipro shares 1.6L</t>
  </si>
  <si>
    <t>SBI Gilt Fund</t>
  </si>
  <si>
    <t>For FD Replacment - Bonus</t>
  </si>
  <si>
    <t>HDFC money tracking Chandana</t>
  </si>
  <si>
    <t>Stocks-Kite</t>
  </si>
  <si>
    <t>Invest 10k for kid</t>
  </si>
  <si>
    <t>Withdrawn 172400 from Gilt funds</t>
  </si>
  <si>
    <t>Invested 80k</t>
  </si>
  <si>
    <t>PF Money - Not investing currently</t>
  </si>
  <si>
    <t>Bike</t>
  </si>
  <si>
    <t>Kotak money tracking Chandana</t>
  </si>
  <si>
    <t>Invest 10k for kids</t>
  </si>
  <si>
    <t>360 One Quant</t>
  </si>
  <si>
    <t>Adhoc Money</t>
  </si>
  <si>
    <t>Withdraw 17k for Rent</t>
  </si>
  <si>
    <t>Booked 25k loss in PANHR IPO</t>
  </si>
  <si>
    <t>Bonus Money</t>
  </si>
  <si>
    <t>Replacement of PPFS</t>
  </si>
  <si>
    <t>Airtel Payments Bank money tracking Chandana</t>
  </si>
  <si>
    <t>Mirae Asset Liquid fund</t>
  </si>
  <si>
    <t>For Trading Purpose</t>
  </si>
  <si>
    <t>Transferred to Hari Account</t>
  </si>
  <si>
    <t>3389 use it</t>
  </si>
  <si>
    <t>Transfered 50k to Chandu</t>
  </si>
  <si>
    <t>Bandhan Small cap fund</t>
  </si>
  <si>
    <t>Dividends Money</t>
  </si>
  <si>
    <t>ICICI Prudential Thematic Advantage fund</t>
  </si>
  <si>
    <t>IT Returns Money</t>
  </si>
  <si>
    <t>Motilal Oswal Mid cap fund</t>
  </si>
  <si>
    <t>Invesco Small cap fund</t>
  </si>
  <si>
    <t>For Gratuity, F&amp;F Money</t>
  </si>
  <si>
    <t>MAsset</t>
  </si>
  <si>
    <t>Month end excess Balance - Not investing currently</t>
  </si>
  <si>
    <t>HDFC Balanced Advantage fund</t>
  </si>
  <si>
    <t>Sadimpulu Money</t>
  </si>
  <si>
    <t>HDFC Short term debt fund</t>
  </si>
  <si>
    <t>Insurance money</t>
  </si>
  <si>
    <t>For Long term - Not investing currently</t>
  </si>
  <si>
    <t>SBI Gilt fund</t>
  </si>
  <si>
    <t>Insurance Premiums</t>
  </si>
  <si>
    <t>Withdraw it when Interest rates start increasing</t>
  </si>
  <si>
    <t>JM Aggressive Hybrid Fund</t>
  </si>
  <si>
    <t>Health - Parents</t>
  </si>
  <si>
    <t>Travel money</t>
  </si>
  <si>
    <t>ICICI Prudential Gilt Fund</t>
  </si>
  <si>
    <t>Term - Both</t>
  </si>
  <si>
    <t>Stocks - MAsset</t>
  </si>
  <si>
    <t>Sold Gold holdings and invested</t>
  </si>
  <si>
    <t>Total Amount</t>
  </si>
  <si>
    <t>ICICI Prudential credit risk fund</t>
  </si>
  <si>
    <t>Gold Money</t>
  </si>
  <si>
    <t>Bike - Not investing currently</t>
  </si>
  <si>
    <t>Zerodh Coin</t>
  </si>
  <si>
    <t>Helios Flexi cap</t>
  </si>
  <si>
    <t>Travel</t>
  </si>
  <si>
    <t>Mutual fund &amp; Date</t>
  </si>
  <si>
    <t>Total Investments 
as on May EOD</t>
  </si>
  <si>
    <t>Total Investments 
as on June EOD</t>
  </si>
  <si>
    <t>Did FD Again</t>
  </si>
  <si>
    <t>Withdrawable cash</t>
  </si>
  <si>
    <t>Amazon vouchers</t>
  </si>
  <si>
    <t>Invested gold from kotak</t>
  </si>
  <si>
    <t>Transferred 15k</t>
  </si>
  <si>
    <t>Total Investments 
as on July EOD</t>
  </si>
  <si>
    <t>Liquid - 5th</t>
  </si>
  <si>
    <t>icici</t>
  </si>
  <si>
    <t>Total Investments 
as on August EOD</t>
  </si>
  <si>
    <t>Short term - 5th</t>
  </si>
  <si>
    <t>Groww BSE Hospitals ETF</t>
  </si>
  <si>
    <t>Kids Long term</t>
  </si>
  <si>
    <t>ETF - 5th</t>
  </si>
  <si>
    <t>JM - 5th</t>
  </si>
  <si>
    <t xml:space="preserve">Sending to Nandyal </t>
  </si>
  <si>
    <t>HDFC Short Term Debt Fund</t>
  </si>
  <si>
    <t>Arbitrage - 5th</t>
  </si>
  <si>
    <t>Bonus</t>
  </si>
  <si>
    <t>Bought ups at 2200 &amp; Mixi 4300</t>
  </si>
  <si>
    <t>Savings - 18th</t>
  </si>
  <si>
    <t>Aggressive - 18th</t>
  </si>
  <si>
    <t>Investments for Kids</t>
  </si>
  <si>
    <t>ultra short - 5th</t>
  </si>
  <si>
    <t>Hospital sector - 5th</t>
  </si>
  <si>
    <t>Kite</t>
  </si>
  <si>
    <t>Insurance</t>
  </si>
  <si>
    <t>Transfered 70k to Axis hari</t>
  </si>
  <si>
    <t>Nippon India Low Duration fund</t>
  </si>
  <si>
    <t>Kids - Expenses for short term</t>
  </si>
  <si>
    <t>IT returns</t>
  </si>
  <si>
    <t>paid 20k to mobile emi for sister</t>
  </si>
  <si>
    <t>Transfer 11k to kotak &amp; 10k home expenses</t>
  </si>
  <si>
    <t>Invest 9k for kids &amp; missing 5k from transactions &amp; home 10k &amp; 2.5k withdraw</t>
  </si>
  <si>
    <t>Bought wipro shares 1.6L, Sold Wipro</t>
  </si>
  <si>
    <t>Transfered 70k to Axis hari  &amp; 20k as well</t>
  </si>
  <si>
    <t>Kite Money</t>
  </si>
  <si>
    <t>Use extra amount for car</t>
  </si>
  <si>
    <t>Rcvd 70k from Mother Kotak</t>
  </si>
  <si>
    <t>Withdraw 17k for Home rent</t>
  </si>
  <si>
    <t>Did FD of 55k, transferred 50k aixs hari &amp; need to transfer 5L to hari</t>
  </si>
  <si>
    <t>Given 30k to Sahana &amp; 70k to mama</t>
  </si>
  <si>
    <t>Rcvd 90k from Mother Kotak</t>
  </si>
  <si>
    <t>Sent 30k to father &amp; 20k to kotak chandana, 1.28L is present in Kite</t>
  </si>
  <si>
    <t>Trust Small cap</t>
  </si>
  <si>
    <t>Save 17k for Home &amp; 2250 for Pramodini profits</t>
  </si>
  <si>
    <t>Health - Star</t>
  </si>
  <si>
    <t>Amazon Pay Balance</t>
  </si>
  <si>
    <t>Bought vouchers from ICICI 16k</t>
  </si>
  <si>
    <t>Bike Insurance</t>
  </si>
  <si>
    <t>Recharges</t>
  </si>
  <si>
    <t>IND Money - US Stocks</t>
  </si>
  <si>
    <t>Total Value</t>
  </si>
  <si>
    <t>USD</t>
  </si>
  <si>
    <t>INR</t>
  </si>
  <si>
    <t>Stock Name</t>
  </si>
  <si>
    <t>Quantity</t>
  </si>
  <si>
    <t>Invested Value</t>
  </si>
  <si>
    <t>Current Value</t>
  </si>
  <si>
    <t>VAMGUARD</t>
  </si>
  <si>
    <t>NASDAQ Clean Edge</t>
  </si>
  <si>
    <t>ARK Space</t>
  </si>
  <si>
    <t>NVIDIA</t>
  </si>
  <si>
    <t>Total Investments 
as on Sept EOD</t>
  </si>
  <si>
    <t>Having Cash of 10k</t>
  </si>
  <si>
    <t>Total Investments 
as on Oct EOD</t>
  </si>
  <si>
    <t>Used for LIC, 3.4k out 900 is used in expenses</t>
  </si>
  <si>
    <t>Transferred 17k+2.1k+463 current bil</t>
  </si>
  <si>
    <t>Transfer only 23500 as 1500 already there, Transfterred 13.5k + 1.5k</t>
  </si>
  <si>
    <t>Sept EOD 09/27 : Withdraw 2k from ICICI &amp; 55k keep for Tax, Even though it's not yet paid</t>
  </si>
  <si>
    <t>Given 70k to mama</t>
  </si>
  <si>
    <t>For Kids</t>
  </si>
  <si>
    <t>Transferred 50k to Chandana kotak &amp; mother Kotak</t>
  </si>
  <si>
    <t>Used 20k for house shifting</t>
  </si>
  <si>
    <t>Save 34k for home</t>
  </si>
  <si>
    <t>Recvd 50k from Hari Axis</t>
  </si>
  <si>
    <t>Invested Until 3rd Oct dividens &amp; interest. Invest only from 4th Oct</t>
  </si>
  <si>
    <t>IND Money</t>
  </si>
  <si>
    <t>Stock/ETF/Fund Name</t>
  </si>
  <si>
    <t>Vanguard Morning star</t>
  </si>
  <si>
    <t>NASDAQ Clean Edge Smart</t>
  </si>
  <si>
    <t>ARK Space &amp; Defense Innovation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</si>
</sst>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sz val="9.0"/>
      <color rgb="FF1155CC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2" fillId="2" fontId="2" numFmtId="0" xfId="0" applyAlignment="1" applyBorder="1" applyFill="1" applyFont="1">
      <alignment horizontal="center" readingOrder="0" shrinkToFit="0" wrapText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horizontal="right" shrinkToFit="0" vertical="bottom" wrapText="0"/>
    </xf>
    <xf borderId="1" fillId="0" fontId="1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4" fontId="6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0" fillId="5" fontId="1" numFmtId="0" xfId="0" applyAlignment="1" applyFill="1" applyFont="1">
      <alignment readingOrder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1" numFmtId="164" xfId="0" applyAlignment="1" applyBorder="1" applyFont="1" applyNumberFormat="1">
      <alignment readingOrder="0"/>
    </xf>
    <xf borderId="1" fillId="0" fontId="4" numFmtId="0" xfId="0" applyAlignment="1" applyBorder="1" applyFont="1">
      <alignment horizontal="right" shrinkToFit="0" vertical="bottom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">
    <tableStyle count="4" pivot="0" name="April-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March-2026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Feb-2026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Jan-2026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April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Feb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March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Jan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May-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May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June-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June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July-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July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Aug-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ug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Sept-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ept-2026-style 2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Oct-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Oct-2026-style 2">
      <tableStyleElement dxfId="1" type="headerRow"/>
      <tableStyleElement dxfId="2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I38:M59" displayName="Table5" name="Table5" id="4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Jan-2026-style" showColumnStripes="0" showFirstColumn="1" showLastColumn="1" showRowStripes="1"/>
</table>
</file>

<file path=xl/tables/table2.xml><?xml version="1.0" encoding="utf-8"?>
<table xmlns="http://schemas.openxmlformats.org/spreadsheetml/2006/main" ref="I63:M68" displayName="Table4" name="Table4" id="8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Jan-2026-style 2" showColumnStripes="0" showFirstColumn="1" showLastColumn="1" showRowStripes="1"/>
</table>
</file>

<file path=xl/tables/table3.xml><?xml version="1.0" encoding="utf-8"?>
<table xmlns="http://schemas.openxmlformats.org/spreadsheetml/2006/main" ref="I38:M59" displayName="Table5_2" name="Table5_2" id="1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Feb-2026-style" showColumnStripes="0" showFirstColumn="1" showLastColumn="1" showRowStripes="1"/>
</table>
</file>

<file path=xl/tables/table4.xml><?xml version="1.0" encoding="utf-8"?>
<table xmlns="http://schemas.openxmlformats.org/spreadsheetml/2006/main" ref="I76:M81" displayName="Table4_2" name="Table4_2" id="7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Feb-2026-style 2" showColumnStripes="0" showFirstColumn="1" showLastColumn="1" showRowStripes="1"/>
</table>
</file>

<file path=xl/tables/table5.xml><?xml version="1.0" encoding="utf-8"?>
<table xmlns="http://schemas.openxmlformats.org/spreadsheetml/2006/main" ref="I38:M59" displayName="Table5_3" name="Table5_3" id="3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March-2026-style" showColumnStripes="0" showFirstColumn="1" showLastColumn="1" showRowStripes="1"/>
</table>
</file>

<file path=xl/tables/table6.xml><?xml version="1.0" encoding="utf-8"?>
<table xmlns="http://schemas.openxmlformats.org/spreadsheetml/2006/main" ref="I76:M81" displayName="Table4_3" name="Table4_3" id="6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March-2026-style 2" showColumnStripes="0" showFirstColumn="1" showLastColumn="1" showRowStripes="1"/>
</table>
</file>

<file path=xl/tables/table7.xml><?xml version="1.0" encoding="utf-8"?>
<table xmlns="http://schemas.openxmlformats.org/spreadsheetml/2006/main" ref="I5:L37" displayName="Table1" name="Table1" id="2">
  <tableColumns count="4">
    <tableColumn name="Fund Name" id="1"/>
    <tableColumn name="Units" id="2"/>
    <tableColumn name="Investment Value" id="3"/>
    <tableColumn name="Column 1" id="4"/>
  </tableColumns>
  <tableStyleInfo name="April-2026-style" showColumnStripes="0" showFirstColumn="1" showLastColumn="1" showRowStripes="1"/>
</table>
</file>

<file path=xl/tables/table8.xml><?xml version="1.0" encoding="utf-8"?>
<table xmlns="http://schemas.openxmlformats.org/spreadsheetml/2006/main" ref="I52:M76" displayName="Table5_4" name="Table5_4" id="5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April-2026-style 2" showColumnStripes="0" showFirstColumn="1" showLastColumn="1" showRowStripes="1"/>
</table>
</file>

<file path=xl/tables/table9.xml><?xml version="1.0" encoding="utf-8"?>
<table xmlns="http://schemas.openxmlformats.org/spreadsheetml/2006/main" ref="J5:M37" displayName="Table1_2" name="Table1_2" id="9">
  <tableColumns count="4">
    <tableColumn name="Fund Name" id="1"/>
    <tableColumn name="Units" id="2"/>
    <tableColumn name="Investment Value" id="3"/>
    <tableColumn name="Column 1" id="4"/>
  </tableColumns>
  <tableStyleInfo name="May-2026-style" showColumnStripes="0" showFirstColumn="1" showLastColumn="1" showRowStripes="1"/>
</table>
</file>

<file path=xl/tables/table10.xml><?xml version="1.0" encoding="utf-8"?>
<table xmlns="http://schemas.openxmlformats.org/spreadsheetml/2006/main" ref="J52:N76" displayName="Table5_5" name="Table5_5" id="10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May-2026-style 2" showColumnStripes="0" showFirstColumn="1" showLastColumn="1" showRowStripes="1"/>
</table>
</file>

<file path=xl/tables/table11.xml><?xml version="1.0" encoding="utf-8"?>
<table xmlns="http://schemas.openxmlformats.org/spreadsheetml/2006/main" ref="J5:M37" displayName="Table1_3" name="Table1_3" id="11">
  <tableColumns count="4">
    <tableColumn name="Fund Name" id="1"/>
    <tableColumn name="Units" id="2"/>
    <tableColumn name="Investment Value" id="3"/>
    <tableColumn name="Column 1" id="4"/>
  </tableColumns>
  <tableStyleInfo name="June-2026-style" showColumnStripes="0" showFirstColumn="1" showLastColumn="1" showRowStripes="1"/>
</table>
</file>

<file path=xl/tables/table12.xml><?xml version="1.0" encoding="utf-8"?>
<table xmlns="http://schemas.openxmlformats.org/spreadsheetml/2006/main" ref="J52:N76" displayName="Table5_6" name="Table5_6" id="12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June-2026-style 2" showColumnStripes="0" showFirstColumn="1" showLastColumn="1" showRowStripes="1"/>
</table>
</file>

<file path=xl/tables/table13.xml><?xml version="1.0" encoding="utf-8"?>
<table xmlns="http://schemas.openxmlformats.org/spreadsheetml/2006/main" ref="J5:M37" displayName="Table1_4" name="Table1_4" id="13">
  <tableColumns count="4">
    <tableColumn name="Fund Name" id="1"/>
    <tableColumn name="Units" id="2"/>
    <tableColumn name="Investment Value" id="3"/>
    <tableColumn name="Column 1" id="4"/>
  </tableColumns>
  <tableStyleInfo name="July-2026-style" showColumnStripes="0" showFirstColumn="1" showLastColumn="1" showRowStripes="1"/>
</table>
</file>

<file path=xl/tables/table14.xml><?xml version="1.0" encoding="utf-8"?>
<table xmlns="http://schemas.openxmlformats.org/spreadsheetml/2006/main" ref="J52:N76" displayName="Table5_7" name="Table5_7" id="14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July-2026-style 2" showColumnStripes="0" showFirstColumn="1" showLastColumn="1" showRowStripes="1"/>
</table>
</file>

<file path=xl/tables/table15.xml><?xml version="1.0" encoding="utf-8"?>
<table xmlns="http://schemas.openxmlformats.org/spreadsheetml/2006/main" ref="J5:M37" displayName="Table1_5" name="Table1_5" id="15">
  <tableColumns count="4">
    <tableColumn name="Fund Name" id="1"/>
    <tableColumn name="Units" id="2"/>
    <tableColumn name="Investment Value" id="3"/>
    <tableColumn name="Column 1" id="4"/>
  </tableColumns>
  <tableStyleInfo name="Aug-2026-style" showColumnStripes="0" showFirstColumn="1" showLastColumn="1" showRowStripes="1"/>
</table>
</file>

<file path=xl/tables/table16.xml><?xml version="1.0" encoding="utf-8"?>
<table xmlns="http://schemas.openxmlformats.org/spreadsheetml/2006/main" ref="J52:N76" displayName="Table5_8" name="Table5_8" id="16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Aug-2026-style 2" showColumnStripes="0" showFirstColumn="1" showLastColumn="1" showRowStripes="1"/>
</table>
</file>

<file path=xl/tables/table17.xml><?xml version="1.0" encoding="utf-8"?>
<table xmlns="http://schemas.openxmlformats.org/spreadsheetml/2006/main" ref="J5:M37" displayName="Table1_6" name="Table1_6" id="17">
  <tableColumns count="4">
    <tableColumn name="Fund Name" id="1"/>
    <tableColumn name="Units" id="2"/>
    <tableColumn name="Investment Value" id="3"/>
    <tableColumn name="Column 1" id="4"/>
  </tableColumns>
  <tableStyleInfo name="Sept-2026-style" showColumnStripes="0" showFirstColumn="1" showLastColumn="1" showRowStripes="1"/>
</table>
</file>

<file path=xl/tables/table18.xml><?xml version="1.0" encoding="utf-8"?>
<table xmlns="http://schemas.openxmlformats.org/spreadsheetml/2006/main" ref="J52:N76" displayName="Table5_9" name="Table5_9" id="18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Sept-2026-style 2" showColumnStripes="0" showFirstColumn="1" showLastColumn="1" showRowStripes="1"/>
</table>
</file>

<file path=xl/tables/table19.xml><?xml version="1.0" encoding="utf-8"?>
<table xmlns="http://schemas.openxmlformats.org/spreadsheetml/2006/main" ref="J5:M37" displayName="Table1_7" name="Table1_7" id="19">
  <tableColumns count="4">
    <tableColumn name="Fund Name" id="1"/>
    <tableColumn name="Units" id="2"/>
    <tableColumn name="Investment Value" id="3"/>
    <tableColumn name="Column 1" id="4"/>
  </tableColumns>
  <tableStyleInfo name="Oct-2026-style" showColumnStripes="0" showFirstColumn="1" showLastColumn="1" showRowStripes="1"/>
</table>
</file>

<file path=xl/tables/table20.xml><?xml version="1.0" encoding="utf-8"?>
<table xmlns="http://schemas.openxmlformats.org/spreadsheetml/2006/main" ref="J52:N76" displayName="Table5_10" name="Table5_10" id="20">
  <tableColumns count="5">
    <tableColumn name="Fund Name" id="1"/>
    <tableColumn name="Units" id="2"/>
    <tableColumn name="Investment Value" id="3"/>
    <tableColumn name="For" id="4"/>
    <tableColumn name="Column 5" id="5"/>
  </tableColumns>
  <tableStyleInfo name="Oct-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2.63"/>
    <col customWidth="1" min="4" max="4" width="25.88"/>
    <col customWidth="1" min="9" max="9" width="34.25"/>
    <col customWidth="1" min="11" max="11" width="19.13"/>
    <col customWidth="1" min="12" max="12" width="37.13"/>
    <col customWidth="1" min="15" max="15" width="26.75"/>
    <col customWidth="1" min="16" max="16" width="13.0"/>
    <col customWidth="1" min="20" max="20" width="42.88"/>
  </cols>
  <sheetData>
    <row r="1">
      <c r="A1" s="1"/>
      <c r="B1" s="2" t="s">
        <v>0</v>
      </c>
      <c r="C1" s="2" t="s">
        <v>1</v>
      </c>
      <c r="D1" s="2" t="s">
        <v>2</v>
      </c>
      <c r="F1" s="3" t="s">
        <v>3</v>
      </c>
      <c r="G1" s="3" t="s">
        <v>4</v>
      </c>
      <c r="I1" s="4" t="s">
        <v>5</v>
      </c>
      <c r="J1" s="5"/>
      <c r="K1" s="5"/>
      <c r="L1" s="5"/>
      <c r="M1" s="6"/>
    </row>
    <row r="2">
      <c r="B2" s="7">
        <f> 7851+B3+45000</f>
        <v>260353</v>
      </c>
      <c r="C2" s="7">
        <f>46914+C3</f>
        <v>103454</v>
      </c>
      <c r="E2" s="8">
        <f>B2-B3</f>
        <v>52851</v>
      </c>
      <c r="I2" s="9" t="s">
        <v>8</v>
      </c>
      <c r="J2" s="9" t="s">
        <v>9</v>
      </c>
      <c r="K2" s="10" t="s">
        <v>11</v>
      </c>
      <c r="L2" s="11"/>
      <c r="M2" s="11"/>
      <c r="S2" s="3" t="s">
        <v>12</v>
      </c>
      <c r="T2" s="3" t="s">
        <v>13</v>
      </c>
    </row>
    <row r="3">
      <c r="A3" s="2" t="s">
        <v>14</v>
      </c>
      <c r="B3" s="3">
        <v>207502.0</v>
      </c>
      <c r="C3" s="2">
        <v>56540.0</v>
      </c>
      <c r="D3" s="2"/>
      <c r="E3" s="3">
        <v>53726.0</v>
      </c>
      <c r="G3" s="8">
        <f>-(B4+B6+B7+B8+B9+B12+C10+C8+C4)</f>
        <v>94000</v>
      </c>
      <c r="I3" s="11">
        <f>1195826+3458734</f>
        <v>4654560</v>
      </c>
      <c r="J3" s="11">
        <f>1439873+4519684</f>
        <v>5959557</v>
      </c>
      <c r="K3" s="12">
        <f>(J3-I3)/I3*100</f>
        <v>28.03695731</v>
      </c>
      <c r="L3" s="11"/>
      <c r="M3" s="11"/>
      <c r="T3" s="3" t="s">
        <v>16</v>
      </c>
    </row>
    <row r="4">
      <c r="A4" s="13" t="s">
        <v>17</v>
      </c>
      <c r="B4" s="13">
        <v>-25000.0</v>
      </c>
      <c r="C4" s="13"/>
      <c r="D4" s="13" t="s">
        <v>18</v>
      </c>
      <c r="E4" s="8">
        <f t="shared" ref="E4:E16" si="1">-(B4)-C4</f>
        <v>25000</v>
      </c>
      <c r="L4" s="11"/>
      <c r="M4" s="11"/>
      <c r="T4" s="3" t="s">
        <v>20</v>
      </c>
    </row>
    <row r="5">
      <c r="A5" s="13" t="s">
        <v>21</v>
      </c>
      <c r="B5" s="13">
        <f>-73000</f>
        <v>-73000</v>
      </c>
      <c r="C5" s="13">
        <f>-17000</f>
        <v>-17000</v>
      </c>
      <c r="D5" s="13" t="s">
        <v>18</v>
      </c>
      <c r="E5" s="8">
        <f t="shared" si="1"/>
        <v>90000</v>
      </c>
      <c r="I5" s="14" t="s">
        <v>22</v>
      </c>
      <c r="J5" s="14" t="s">
        <v>23</v>
      </c>
      <c r="K5" s="14" t="s">
        <v>24</v>
      </c>
      <c r="L5" s="11"/>
      <c r="M5" s="11"/>
      <c r="T5" s="3" t="s">
        <v>25</v>
      </c>
    </row>
    <row r="6">
      <c r="A6" s="13" t="s">
        <v>26</v>
      </c>
      <c r="B6" s="13">
        <f>-20000-3000-2000</f>
        <v>-25000</v>
      </c>
      <c r="C6" s="13"/>
      <c r="D6" s="7" t="s">
        <v>18</v>
      </c>
      <c r="E6" s="8">
        <f t="shared" si="1"/>
        <v>25000</v>
      </c>
      <c r="F6" s="8">
        <f>5000+3000</f>
        <v>8000</v>
      </c>
      <c r="I6" s="13" t="s">
        <v>27</v>
      </c>
      <c r="J6" s="13"/>
      <c r="K6" s="13"/>
      <c r="L6" s="18"/>
      <c r="M6" s="11"/>
      <c r="T6" s="3" t="s">
        <v>29</v>
      </c>
    </row>
    <row r="7">
      <c r="A7" s="13" t="s">
        <v>30</v>
      </c>
      <c r="B7" s="13">
        <v>-8000.0</v>
      </c>
      <c r="C7" s="13"/>
      <c r="D7" s="13"/>
      <c r="E7" s="8">
        <f t="shared" si="1"/>
        <v>8000</v>
      </c>
      <c r="I7" s="19" t="s">
        <v>31</v>
      </c>
      <c r="J7" s="13"/>
      <c r="K7" s="13"/>
      <c r="L7" s="9" t="s">
        <v>33</v>
      </c>
      <c r="M7" s="11"/>
      <c r="T7" s="3" t="s">
        <v>34</v>
      </c>
      <c r="U7" s="3" t="s">
        <v>35</v>
      </c>
    </row>
    <row r="8">
      <c r="A8" s="13" t="s">
        <v>36</v>
      </c>
      <c r="B8" s="13"/>
      <c r="C8" s="13">
        <v>-5000.0</v>
      </c>
      <c r="D8" s="13"/>
      <c r="E8" s="8">
        <f t="shared" si="1"/>
        <v>5000</v>
      </c>
      <c r="I8" s="7" t="s">
        <v>38</v>
      </c>
      <c r="J8" s="13"/>
      <c r="K8" s="13"/>
      <c r="L8" s="18"/>
      <c r="M8" s="20"/>
      <c r="T8" s="3" t="s">
        <v>40</v>
      </c>
    </row>
    <row r="9">
      <c r="A9" s="13" t="s">
        <v>41</v>
      </c>
      <c r="B9" s="13">
        <v>-6000.0</v>
      </c>
      <c r="C9" s="13"/>
      <c r="D9" s="13" t="s">
        <v>18</v>
      </c>
      <c r="E9" s="8">
        <f t="shared" si="1"/>
        <v>6000</v>
      </c>
      <c r="I9" s="7" t="s">
        <v>42</v>
      </c>
      <c r="J9" s="13"/>
      <c r="K9" s="13"/>
      <c r="L9" s="18"/>
      <c r="O9" s="23" t="s">
        <v>43</v>
      </c>
      <c r="P9" s="6"/>
    </row>
    <row r="10">
      <c r="A10" s="13" t="s">
        <v>45</v>
      </c>
      <c r="B10" s="13">
        <v>0.0</v>
      </c>
      <c r="C10" s="13">
        <v>-17000.0</v>
      </c>
      <c r="D10" s="13"/>
      <c r="E10" s="8">
        <f t="shared" si="1"/>
        <v>17000</v>
      </c>
      <c r="I10" s="13" t="s">
        <v>47</v>
      </c>
      <c r="J10" s="13"/>
      <c r="K10" s="13"/>
      <c r="L10" s="9" t="s">
        <v>48</v>
      </c>
      <c r="O10" s="7" t="s">
        <v>49</v>
      </c>
      <c r="P10" s="7" t="s">
        <v>50</v>
      </c>
    </row>
    <row r="11">
      <c r="A11" s="13" t="s">
        <v>51</v>
      </c>
      <c r="B11" s="13">
        <v>-8000.0</v>
      </c>
      <c r="C11" s="24">
        <v>0.0</v>
      </c>
      <c r="D11" s="13" t="s">
        <v>18</v>
      </c>
      <c r="E11" s="8">
        <f t="shared" si="1"/>
        <v>8000</v>
      </c>
      <c r="I11" s="13" t="s">
        <v>52</v>
      </c>
      <c r="J11" s="13"/>
      <c r="K11" s="13"/>
      <c r="L11" s="18"/>
      <c r="O11" s="10">
        <v>0.0</v>
      </c>
      <c r="P11" s="7">
        <v>0.0</v>
      </c>
    </row>
    <row r="12">
      <c r="A12" s="13" t="s">
        <v>53</v>
      </c>
      <c r="B12" s="13">
        <v>-8000.0</v>
      </c>
      <c r="C12" s="13">
        <v>-5000.0</v>
      </c>
      <c r="D12" s="13" t="s">
        <v>18</v>
      </c>
      <c r="E12" s="8">
        <f t="shared" si="1"/>
        <v>13000</v>
      </c>
      <c r="I12" s="7" t="s">
        <v>54</v>
      </c>
      <c r="J12" s="13"/>
      <c r="K12" s="13"/>
      <c r="L12" s="7" t="s">
        <v>55</v>
      </c>
    </row>
    <row r="13">
      <c r="A13" s="7" t="s">
        <v>56</v>
      </c>
      <c r="B13" s="7">
        <v>-318.0</v>
      </c>
      <c r="C13" s="26"/>
      <c r="D13" s="13"/>
      <c r="E13" s="8">
        <f t="shared" si="1"/>
        <v>318</v>
      </c>
      <c r="I13" s="13" t="s">
        <v>57</v>
      </c>
      <c r="J13" s="7"/>
      <c r="K13" s="7"/>
      <c r="L13" s="9" t="s">
        <v>58</v>
      </c>
      <c r="T13" s="3" t="s">
        <v>60</v>
      </c>
    </row>
    <row r="14">
      <c r="A14" s="13" t="s">
        <v>61</v>
      </c>
      <c r="B14" s="7">
        <v>-500.0</v>
      </c>
      <c r="C14" s="13"/>
      <c r="D14" s="7" t="s">
        <v>18</v>
      </c>
      <c r="E14" s="8">
        <f t="shared" si="1"/>
        <v>500</v>
      </c>
      <c r="I14" s="19" t="s">
        <v>62</v>
      </c>
      <c r="J14" s="13"/>
      <c r="K14" s="13"/>
      <c r="L14" s="13" t="s">
        <v>63</v>
      </c>
      <c r="O14" s="23" t="s">
        <v>64</v>
      </c>
      <c r="P14" s="6"/>
      <c r="Q14" s="3" t="s">
        <v>65</v>
      </c>
      <c r="T14" s="3" t="s">
        <v>66</v>
      </c>
    </row>
    <row r="15">
      <c r="A15" s="7" t="s">
        <v>67</v>
      </c>
      <c r="B15" s="7">
        <v>-5000.0</v>
      </c>
      <c r="C15" s="26"/>
      <c r="D15" s="7" t="s">
        <v>18</v>
      </c>
      <c r="E15" s="8">
        <f t="shared" si="1"/>
        <v>5000</v>
      </c>
      <c r="F15" s="3">
        <v>100000.0</v>
      </c>
      <c r="I15" s="27" t="s">
        <v>68</v>
      </c>
      <c r="J15" s="13"/>
      <c r="K15" s="13"/>
      <c r="L15" s="3" t="s">
        <v>70</v>
      </c>
      <c r="O15" s="7" t="s">
        <v>71</v>
      </c>
      <c r="P15" s="7" t="s">
        <v>50</v>
      </c>
    </row>
    <row r="16">
      <c r="A16" s="26"/>
      <c r="B16" s="26"/>
      <c r="C16" s="26"/>
      <c r="D16" s="26"/>
      <c r="E16" s="8">
        <f t="shared" si="1"/>
        <v>0</v>
      </c>
      <c r="I16" s="13" t="s">
        <v>73</v>
      </c>
      <c r="J16" s="13"/>
      <c r="K16" s="13"/>
      <c r="L16" s="18"/>
      <c r="O16" s="7">
        <f>406025+73000</f>
        <v>479025</v>
      </c>
      <c r="P16" s="7">
        <f>302504+25000</f>
        <v>327504</v>
      </c>
      <c r="Q16" s="8">
        <f>O16-P16</f>
        <v>151521</v>
      </c>
      <c r="R16" s="3" t="s">
        <v>74</v>
      </c>
      <c r="S16" s="3" t="s">
        <v>75</v>
      </c>
      <c r="T16" s="3">
        <f>460000+230000+P16</f>
        <v>1017504</v>
      </c>
    </row>
    <row r="17">
      <c r="A17" s="26"/>
      <c r="B17" s="26"/>
      <c r="C17" s="26"/>
      <c r="D17" s="26"/>
      <c r="I17" s="13" t="s">
        <v>77</v>
      </c>
      <c r="J17" s="13"/>
      <c r="K17" s="13"/>
      <c r="L17" s="18"/>
      <c r="T17" s="8">
        <f>O16-T16</f>
        <v>-538479</v>
      </c>
    </row>
    <row r="18">
      <c r="A18" s="26"/>
      <c r="B18" s="26"/>
      <c r="C18" s="26"/>
      <c r="D18" s="26"/>
      <c r="I18" s="19" t="s">
        <v>80</v>
      </c>
      <c r="J18" s="13"/>
      <c r="K18" s="13"/>
      <c r="L18" s="18"/>
      <c r="O18" s="23" t="s">
        <v>81</v>
      </c>
      <c r="P18" s="6"/>
    </row>
    <row r="19">
      <c r="A19" s="26"/>
      <c r="B19" s="26"/>
      <c r="C19" s="26"/>
      <c r="D19" s="26"/>
      <c r="I19" s="19" t="s">
        <v>84</v>
      </c>
      <c r="J19" s="13"/>
      <c r="K19" s="13"/>
      <c r="L19" s="1"/>
      <c r="O19" s="7" t="s">
        <v>71</v>
      </c>
      <c r="P19" s="7" t="s">
        <v>50</v>
      </c>
    </row>
    <row r="20">
      <c r="A20" s="7"/>
      <c r="B20" s="7"/>
      <c r="C20" s="7"/>
      <c r="D20" s="26"/>
      <c r="I20" s="19" t="s">
        <v>85</v>
      </c>
      <c r="J20" s="13"/>
      <c r="K20" s="13"/>
      <c r="L20" s="1"/>
      <c r="O20" s="3">
        <v>900.0</v>
      </c>
      <c r="P20" s="3">
        <v>900.0</v>
      </c>
    </row>
    <row r="21">
      <c r="A21" s="13" t="s">
        <v>86</v>
      </c>
      <c r="B21" s="26">
        <f t="shared" ref="B21:C21" si="2">SUM(B3:B20)</f>
        <v>48684</v>
      </c>
      <c r="C21" s="26">
        <f t="shared" si="2"/>
        <v>12540</v>
      </c>
      <c r="D21" s="26"/>
      <c r="I21" s="19" t="s">
        <v>88</v>
      </c>
      <c r="J21" s="13"/>
      <c r="K21" s="13"/>
      <c r="L21" s="1"/>
      <c r="O21" s="20"/>
      <c r="P21" s="20"/>
      <c r="Q21" s="20"/>
      <c r="R21" s="20"/>
    </row>
    <row r="22">
      <c r="I22" s="13" t="s">
        <v>89</v>
      </c>
      <c r="J22" s="13"/>
      <c r="K22" s="13"/>
      <c r="L22" s="9" t="s">
        <v>33</v>
      </c>
      <c r="O22" s="20"/>
      <c r="P22" s="20"/>
      <c r="Q22" s="20"/>
      <c r="R22" s="20"/>
    </row>
    <row r="23">
      <c r="I23" s="19" t="s">
        <v>90</v>
      </c>
      <c r="J23" s="13"/>
      <c r="K23" s="13"/>
      <c r="L23" s="1"/>
      <c r="O23" s="23" t="s">
        <v>91</v>
      </c>
      <c r="P23" s="6"/>
      <c r="Q23" s="20"/>
      <c r="R23" s="20"/>
    </row>
    <row r="24">
      <c r="I24" s="13" t="s">
        <v>93</v>
      </c>
      <c r="J24" s="13"/>
      <c r="K24" s="29"/>
      <c r="L24" s="13" t="s">
        <v>63</v>
      </c>
      <c r="O24" s="7" t="s">
        <v>71</v>
      </c>
      <c r="P24" s="7" t="s">
        <v>50</v>
      </c>
      <c r="Q24" s="20" t="s">
        <v>95</v>
      </c>
      <c r="R24" s="20" t="s">
        <v>96</v>
      </c>
    </row>
    <row r="25">
      <c r="I25" s="30" t="s">
        <v>97</v>
      </c>
      <c r="J25" s="13"/>
      <c r="K25" s="29"/>
      <c r="L25" s="1"/>
      <c r="O25" s="7">
        <f>297103+16000</f>
        <v>313103</v>
      </c>
      <c r="P25" s="7">
        <v>333460.0</v>
      </c>
      <c r="Q25" s="20" t="s">
        <v>99</v>
      </c>
      <c r="R25" s="20" t="s">
        <v>100</v>
      </c>
      <c r="S25" s="3" t="s">
        <v>101</v>
      </c>
      <c r="T25" s="3" t="s">
        <v>102</v>
      </c>
    </row>
    <row r="26">
      <c r="I26" s="9" t="s">
        <v>103</v>
      </c>
      <c r="J26" s="13"/>
      <c r="K26" s="13"/>
      <c r="L26" s="13"/>
      <c r="P26" s="20"/>
      <c r="Q26" s="20"/>
      <c r="R26" s="20"/>
    </row>
    <row r="27">
      <c r="I27" s="19" t="s">
        <v>104</v>
      </c>
      <c r="J27" s="1"/>
      <c r="K27" s="29"/>
      <c r="L27" s="13"/>
      <c r="P27" s="20"/>
      <c r="Q27" s="20"/>
      <c r="R27" s="20"/>
    </row>
    <row r="28">
      <c r="I28" s="13" t="s">
        <v>105</v>
      </c>
      <c r="L28" s="13"/>
      <c r="O28" s="23" t="s">
        <v>106</v>
      </c>
      <c r="P28" s="6"/>
      <c r="Q28" s="20" t="s">
        <v>108</v>
      </c>
      <c r="R28" s="20"/>
    </row>
    <row r="29">
      <c r="L29" s="1"/>
      <c r="O29" s="7" t="s">
        <v>71</v>
      </c>
      <c r="P29" s="7" t="s">
        <v>50</v>
      </c>
      <c r="Q29" s="20"/>
      <c r="R29" s="20" t="s">
        <v>110</v>
      </c>
    </row>
    <row r="30">
      <c r="O30" s="7">
        <f>7851+207502+45000</f>
        <v>260353</v>
      </c>
      <c r="P30" s="7">
        <f>462239+318-177786-182138-1000</f>
        <v>101633</v>
      </c>
      <c r="Q30" s="20">
        <f>O30-P30</f>
        <v>158720</v>
      </c>
      <c r="R30" s="20" t="s">
        <v>116</v>
      </c>
    </row>
    <row r="31">
      <c r="P31" s="20"/>
      <c r="Q31" s="20"/>
      <c r="R31" s="20"/>
    </row>
    <row r="32">
      <c r="O32" s="23" t="s">
        <v>117</v>
      </c>
      <c r="P32" s="6"/>
      <c r="Q32" s="20"/>
      <c r="R32" s="20"/>
    </row>
    <row r="33">
      <c r="O33" s="7" t="s">
        <v>71</v>
      </c>
      <c r="P33" s="7" t="s">
        <v>50</v>
      </c>
      <c r="Q33" s="20"/>
      <c r="R33" s="20"/>
    </row>
    <row r="34">
      <c r="I34" s="4" t="s">
        <v>119</v>
      </c>
      <c r="J34" s="5"/>
      <c r="K34" s="5"/>
      <c r="L34" s="5"/>
      <c r="M34" s="6"/>
      <c r="O34" s="7">
        <f>11040+8000</f>
        <v>19040</v>
      </c>
      <c r="P34" s="7">
        <v>19040.0</v>
      </c>
      <c r="Q34" s="3" t="s">
        <v>121</v>
      </c>
      <c r="R34" s="20"/>
    </row>
    <row r="35">
      <c r="I35" s="9" t="s">
        <v>8</v>
      </c>
      <c r="J35" s="9" t="s">
        <v>9</v>
      </c>
      <c r="K35" s="10" t="s">
        <v>11</v>
      </c>
      <c r="L35" s="11"/>
      <c r="M35" s="11"/>
    </row>
    <row r="36">
      <c r="I36" s="3">
        <f>652836+(144358-9655)</f>
        <v>787539</v>
      </c>
      <c r="J36" s="3">
        <f>634558+142653</f>
        <v>777211</v>
      </c>
      <c r="K36" s="12">
        <f>(J36-I36)/I36*100</f>
        <v>-1.311427117</v>
      </c>
      <c r="L36" s="11"/>
      <c r="M36" s="11"/>
      <c r="O36" s="23" t="s">
        <v>123</v>
      </c>
      <c r="P36" s="6"/>
    </row>
    <row r="37">
      <c r="I37" s="11"/>
      <c r="J37" s="11"/>
      <c r="K37" s="11"/>
      <c r="L37" s="11"/>
      <c r="M37" s="11"/>
      <c r="O37" s="7" t="s">
        <v>71</v>
      </c>
      <c r="P37" s="7" t="s">
        <v>50</v>
      </c>
    </row>
    <row r="38" ht="22.5" customHeight="1">
      <c r="I38" s="32" t="s">
        <v>22</v>
      </c>
      <c r="J38" s="32" t="s">
        <v>23</v>
      </c>
      <c r="K38" s="32" t="s">
        <v>24</v>
      </c>
      <c r="L38" s="32" t="s">
        <v>125</v>
      </c>
      <c r="M38" s="33" t="s">
        <v>126</v>
      </c>
      <c r="O38" s="7">
        <f>5000+15000</f>
        <v>20000</v>
      </c>
      <c r="P38" s="7">
        <v>5000.0</v>
      </c>
    </row>
    <row r="39" ht="22.5" customHeight="1">
      <c r="I39" s="21" t="s">
        <v>47</v>
      </c>
      <c r="J39" s="21">
        <v>9.9</v>
      </c>
      <c r="K39" s="21">
        <v>4999.0</v>
      </c>
      <c r="L39" s="21" t="s">
        <v>127</v>
      </c>
      <c r="M39" s="35"/>
    </row>
    <row r="40" ht="22.5" customHeight="1">
      <c r="I40" s="21" t="s">
        <v>52</v>
      </c>
      <c r="J40" s="21">
        <v>140.0</v>
      </c>
      <c r="K40" s="21">
        <v>4999.0</v>
      </c>
      <c r="L40" s="21" t="s">
        <v>127</v>
      </c>
      <c r="M40" s="35"/>
      <c r="O40" s="23" t="s">
        <v>130</v>
      </c>
      <c r="P40" s="6"/>
    </row>
    <row r="41" ht="22.5" customHeight="1">
      <c r="I41" s="25" t="s">
        <v>88</v>
      </c>
      <c r="J41" s="21">
        <v>1310.3</v>
      </c>
      <c r="K41" s="21">
        <v>22998.0</v>
      </c>
      <c r="L41" s="21" t="s">
        <v>133</v>
      </c>
      <c r="M41" s="36"/>
      <c r="O41" s="7" t="s">
        <v>71</v>
      </c>
      <c r="P41" s="7" t="s">
        <v>50</v>
      </c>
      <c r="Q41" s="3" t="s">
        <v>135</v>
      </c>
    </row>
    <row r="42" ht="22.5" customHeight="1">
      <c r="I42" s="25" t="s">
        <v>90</v>
      </c>
      <c r="J42" s="21">
        <v>188.4</v>
      </c>
      <c r="K42" s="21">
        <v>14499.0</v>
      </c>
      <c r="L42" s="21" t="s">
        <v>133</v>
      </c>
      <c r="O42" s="7">
        <f>51195-6400</f>
        <v>44795</v>
      </c>
      <c r="P42" s="7">
        <v>71525.0</v>
      </c>
      <c r="Q42" s="3" t="s">
        <v>138</v>
      </c>
      <c r="R42" s="3" t="s">
        <v>139</v>
      </c>
      <c r="S42" s="3" t="s">
        <v>140</v>
      </c>
    </row>
    <row r="43" ht="22.5" customHeight="1">
      <c r="I43" s="21" t="s">
        <v>141</v>
      </c>
      <c r="J43" s="21">
        <v>398.9</v>
      </c>
      <c r="K43" s="21">
        <v>5999.0</v>
      </c>
      <c r="L43" s="21" t="s">
        <v>133</v>
      </c>
    </row>
    <row r="44" ht="22.5" customHeight="1">
      <c r="I44" s="21" t="s">
        <v>143</v>
      </c>
      <c r="J44" s="21">
        <v>1013.0</v>
      </c>
      <c r="K44" s="21">
        <v>64996.0</v>
      </c>
      <c r="L44" s="21" t="s">
        <v>144</v>
      </c>
      <c r="O44" s="23" t="s">
        <v>145</v>
      </c>
      <c r="P44" s="6"/>
    </row>
    <row r="45" ht="22.5" customHeight="1">
      <c r="I45" s="21" t="s">
        <v>105</v>
      </c>
      <c r="J45" s="21">
        <v>4.0</v>
      </c>
      <c r="K45" s="21">
        <v>16208.0</v>
      </c>
      <c r="L45" s="22"/>
      <c r="O45" s="7" t="s">
        <v>71</v>
      </c>
      <c r="P45" s="7" t="s">
        <v>50</v>
      </c>
    </row>
    <row r="46" ht="22.5" customHeight="1">
      <c r="I46" s="21" t="s">
        <v>146</v>
      </c>
      <c r="J46" s="21">
        <v>15.0</v>
      </c>
      <c r="K46" s="21">
        <v>145848.0</v>
      </c>
      <c r="L46" s="21"/>
      <c r="O46" s="7">
        <f>41308+56540</f>
        <v>97848</v>
      </c>
      <c r="P46" s="7">
        <f>299536+126360+256000-117067</f>
        <v>564829</v>
      </c>
    </row>
    <row r="47" ht="22.5" customHeight="1">
      <c r="I47" s="25" t="s">
        <v>88</v>
      </c>
      <c r="J47" s="21"/>
      <c r="K47" s="21"/>
      <c r="L47" s="22"/>
    </row>
    <row r="48" ht="22.5" customHeight="1">
      <c r="I48" s="21" t="s">
        <v>57</v>
      </c>
      <c r="J48" s="21"/>
      <c r="K48" s="21"/>
      <c r="L48" s="21" t="s">
        <v>151</v>
      </c>
      <c r="O48" s="23" t="s">
        <v>152</v>
      </c>
      <c r="P48" s="6"/>
    </row>
    <row r="49" ht="22.5" customHeight="1">
      <c r="I49" s="25" t="s">
        <v>90</v>
      </c>
      <c r="J49" s="21"/>
      <c r="K49" s="21"/>
      <c r="L49" s="21"/>
      <c r="O49" s="7" t="s">
        <v>71</v>
      </c>
      <c r="P49" s="7" t="s">
        <v>50</v>
      </c>
    </row>
    <row r="50" ht="22.5" customHeight="1">
      <c r="I50" s="21" t="s">
        <v>154</v>
      </c>
      <c r="J50" s="21"/>
      <c r="K50" s="21"/>
      <c r="L50" s="21" t="s">
        <v>155</v>
      </c>
      <c r="O50" s="7">
        <f>11602+460000</f>
        <v>471602</v>
      </c>
      <c r="P50" s="7">
        <v>455.0</v>
      </c>
    </row>
    <row r="51" ht="22.5" customHeight="1">
      <c r="I51" s="21" t="s">
        <v>87</v>
      </c>
      <c r="J51" s="21"/>
      <c r="K51" s="21"/>
      <c r="L51" s="21" t="s">
        <v>158</v>
      </c>
    </row>
    <row r="52" ht="22.5" customHeight="1">
      <c r="I52" s="39" t="s">
        <v>42</v>
      </c>
      <c r="J52" s="21"/>
      <c r="K52" s="21"/>
      <c r="L52" s="21" t="s">
        <v>159</v>
      </c>
      <c r="O52" s="23" t="s">
        <v>160</v>
      </c>
      <c r="P52" s="6"/>
    </row>
    <row r="53" ht="22.5" customHeight="1">
      <c r="I53" s="21" t="s">
        <v>161</v>
      </c>
      <c r="J53" s="21"/>
      <c r="K53" s="21"/>
      <c r="L53" s="21" t="s">
        <v>162</v>
      </c>
      <c r="M53" s="36" t="s">
        <v>163</v>
      </c>
      <c r="O53" s="7" t="s">
        <v>71</v>
      </c>
      <c r="P53" s="7" t="s">
        <v>50</v>
      </c>
    </row>
    <row r="54" ht="22.5" customHeight="1">
      <c r="I54" s="21" t="s">
        <v>27</v>
      </c>
      <c r="J54" s="21"/>
      <c r="K54" s="21"/>
      <c r="L54" s="21" t="s">
        <v>159</v>
      </c>
      <c r="O54" s="7">
        <v>100.0</v>
      </c>
      <c r="P54" s="7">
        <v>100.0</v>
      </c>
    </row>
    <row r="55" ht="22.5" customHeight="1">
      <c r="I55" s="21" t="s">
        <v>166</v>
      </c>
      <c r="J55" s="21"/>
      <c r="K55" s="21"/>
      <c r="L55" s="21" t="s">
        <v>167</v>
      </c>
    </row>
    <row r="56" ht="22.5" customHeight="1">
      <c r="I56" s="21" t="s">
        <v>168</v>
      </c>
      <c r="J56" s="21"/>
      <c r="K56" s="21"/>
      <c r="L56" s="21" t="s">
        <v>169</v>
      </c>
    </row>
    <row r="57" ht="22.5" customHeight="1">
      <c r="I57" s="21" t="s">
        <v>170</v>
      </c>
      <c r="J57" s="21"/>
      <c r="K57" s="21"/>
      <c r="L57" s="22"/>
    </row>
    <row r="58" ht="22.5" customHeight="1">
      <c r="I58" s="21" t="s">
        <v>171</v>
      </c>
      <c r="J58" s="34"/>
      <c r="K58" s="34"/>
      <c r="L58" s="34" t="s">
        <v>172</v>
      </c>
    </row>
    <row r="59" ht="22.5" customHeight="1">
      <c r="I59" s="21" t="s">
        <v>143</v>
      </c>
      <c r="J59" s="34"/>
      <c r="K59" s="34"/>
      <c r="L59" s="34" t="s">
        <v>172</v>
      </c>
    </row>
    <row r="61">
      <c r="I61" s="9" t="s">
        <v>8</v>
      </c>
      <c r="J61" s="9" t="s">
        <v>9</v>
      </c>
      <c r="K61" s="10" t="s">
        <v>11</v>
      </c>
    </row>
    <row r="62">
      <c r="I62" s="3">
        <v>680382.0</v>
      </c>
      <c r="J62" s="3">
        <v>819578.0</v>
      </c>
      <c r="K62" s="12">
        <f>(J62-I62)/I62*100</f>
        <v>20.45850713</v>
      </c>
    </row>
    <row r="63" ht="22.5" customHeight="1">
      <c r="I63" s="32" t="s">
        <v>22</v>
      </c>
      <c r="J63" s="32" t="s">
        <v>23</v>
      </c>
      <c r="K63" s="32" t="s">
        <v>24</v>
      </c>
      <c r="L63" s="32" t="s">
        <v>125</v>
      </c>
      <c r="M63" s="33" t="s">
        <v>126</v>
      </c>
    </row>
    <row r="64" ht="22.5" customHeight="1">
      <c r="I64" s="41" t="s">
        <v>175</v>
      </c>
      <c r="J64" s="41">
        <v>547.0</v>
      </c>
      <c r="K64" s="41">
        <v>31398.0</v>
      </c>
      <c r="L64" s="41" t="s">
        <v>176</v>
      </c>
    </row>
    <row r="65" ht="22.5" customHeight="1">
      <c r="I65" s="41" t="s">
        <v>177</v>
      </c>
      <c r="J65" s="41">
        <v>681.0</v>
      </c>
      <c r="K65" s="41">
        <v>22398.0</v>
      </c>
      <c r="L65" s="41" t="s">
        <v>178</v>
      </c>
    </row>
    <row r="66" ht="22.5" customHeight="1">
      <c r="I66" s="41" t="s">
        <v>180</v>
      </c>
      <c r="J66" s="41">
        <v>6522.0</v>
      </c>
      <c r="K66" s="41">
        <v>412979.0</v>
      </c>
      <c r="L66" s="41" t="s">
        <v>182</v>
      </c>
      <c r="M66" s="36" t="s">
        <v>163</v>
      </c>
    </row>
    <row r="67" ht="22.5" customHeight="1">
      <c r="I67" s="41" t="s">
        <v>183</v>
      </c>
      <c r="J67" s="41">
        <v>437.0</v>
      </c>
      <c r="K67" s="41">
        <v>92995.0</v>
      </c>
      <c r="L67" s="41" t="s">
        <v>185</v>
      </c>
    </row>
    <row r="68" ht="22.5" customHeight="1">
      <c r="I68" s="41" t="s">
        <v>186</v>
      </c>
      <c r="J68" s="41">
        <v>1682.0</v>
      </c>
      <c r="K68" s="41">
        <v>193990.0</v>
      </c>
      <c r="L68" s="41" t="s">
        <v>189</v>
      </c>
      <c r="M68" s="36" t="s">
        <v>163</v>
      </c>
    </row>
    <row r="69">
      <c r="I69" s="7" t="s">
        <v>191</v>
      </c>
      <c r="J69" s="7">
        <v>451.0</v>
      </c>
      <c r="K69" s="7">
        <v>15999.0</v>
      </c>
      <c r="L69" s="7" t="s">
        <v>192</v>
      </c>
    </row>
  </sheetData>
  <mergeCells count="14">
    <mergeCell ref="O32:P32"/>
    <mergeCell ref="I34:M34"/>
    <mergeCell ref="O36:P36"/>
    <mergeCell ref="O40:P40"/>
    <mergeCell ref="O44:P44"/>
    <mergeCell ref="O48:P48"/>
    <mergeCell ref="O52:P52"/>
    <mergeCell ref="I1:M1"/>
    <mergeCell ref="S2:S7"/>
    <mergeCell ref="O9:P9"/>
    <mergeCell ref="O14:P14"/>
    <mergeCell ref="O18:P18"/>
    <mergeCell ref="O23:P23"/>
    <mergeCell ref="O28:P28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2.63"/>
    <col customWidth="1" min="4" max="4" width="25.88"/>
    <col customWidth="1" min="9" max="9" width="34.25"/>
    <col customWidth="1" min="11" max="11" width="19.13"/>
    <col customWidth="1" min="12" max="12" width="37.13"/>
    <col customWidth="1" min="15" max="15" width="26.75"/>
    <col customWidth="1" min="16" max="16" width="13.0"/>
    <col customWidth="1" min="20" max="20" width="42.88"/>
  </cols>
  <sheetData>
    <row r="1">
      <c r="A1" s="1"/>
      <c r="B1" s="2" t="s">
        <v>0</v>
      </c>
      <c r="C1" s="2" t="s">
        <v>1</v>
      </c>
      <c r="D1" s="2" t="s">
        <v>2</v>
      </c>
      <c r="F1" s="3" t="s">
        <v>3</v>
      </c>
      <c r="G1" s="3" t="s">
        <v>4</v>
      </c>
      <c r="I1" s="4" t="s">
        <v>5</v>
      </c>
      <c r="J1" s="5"/>
      <c r="K1" s="5"/>
      <c r="L1" s="5"/>
      <c r="M1" s="6"/>
    </row>
    <row r="2">
      <c r="B2" s="7">
        <f> 101633+B3+1000</f>
        <v>462557</v>
      </c>
      <c r="C2" s="7">
        <f>564829+C3</f>
        <v>681896</v>
      </c>
      <c r="E2" s="8">
        <f>B2-B3</f>
        <v>102633</v>
      </c>
      <c r="I2" s="9" t="s">
        <v>6</v>
      </c>
      <c r="J2" s="9" t="s">
        <v>9</v>
      </c>
      <c r="K2" s="10" t="s">
        <v>11</v>
      </c>
      <c r="L2" s="11"/>
      <c r="M2" s="11"/>
      <c r="S2" s="3" t="s">
        <v>12</v>
      </c>
      <c r="T2" s="3" t="s">
        <v>13</v>
      </c>
    </row>
    <row r="3">
      <c r="A3" s="2" t="s">
        <v>14</v>
      </c>
      <c r="B3" s="3">
        <f>177786+182138</f>
        <v>359924</v>
      </c>
      <c r="C3" s="2">
        <v>117067.0</v>
      </c>
      <c r="D3" s="2"/>
      <c r="E3" s="3">
        <v>53726.0</v>
      </c>
      <c r="G3" s="8">
        <f>-(B4+B6+B7+B8+B9+B12+C10+C8+C4)</f>
        <v>112000</v>
      </c>
      <c r="I3" s="11">
        <f>4863571+12000+12000</f>
        <v>4887571</v>
      </c>
      <c r="J3" s="11">
        <f>6209746+12000+12000</f>
        <v>6233746</v>
      </c>
      <c r="K3" s="12">
        <f>(J3-I3)/I3*100</f>
        <v>27.5428224</v>
      </c>
      <c r="L3" s="11"/>
      <c r="M3" s="11"/>
      <c r="T3" s="3" t="s">
        <v>16</v>
      </c>
    </row>
    <row r="4">
      <c r="A4" s="13" t="s">
        <v>17</v>
      </c>
      <c r="B4" s="13">
        <f>-17500-9000</f>
        <v>-26500</v>
      </c>
      <c r="C4" s="13"/>
      <c r="D4" s="13" t="s">
        <v>18</v>
      </c>
      <c r="E4" s="8">
        <f t="shared" ref="E4:E16" si="1">-(B4)-C4</f>
        <v>26500</v>
      </c>
      <c r="L4" s="11"/>
      <c r="M4" s="11"/>
      <c r="T4" s="3" t="s">
        <v>20</v>
      </c>
    </row>
    <row r="5">
      <c r="A5" s="13" t="s">
        <v>21</v>
      </c>
      <c r="B5" s="13">
        <f>-80000</f>
        <v>-80000</v>
      </c>
      <c r="C5" s="13">
        <v>-83000.0</v>
      </c>
      <c r="D5" s="13" t="s">
        <v>18</v>
      </c>
      <c r="E5" s="8">
        <f t="shared" si="1"/>
        <v>163000</v>
      </c>
      <c r="I5" s="14" t="s">
        <v>22</v>
      </c>
      <c r="J5" s="14" t="s">
        <v>23</v>
      </c>
      <c r="K5" s="14" t="s">
        <v>24</v>
      </c>
      <c r="L5" s="15"/>
      <c r="M5" s="11"/>
      <c r="T5" s="3" t="s">
        <v>25</v>
      </c>
    </row>
    <row r="6">
      <c r="A6" s="13" t="s">
        <v>26</v>
      </c>
      <c r="B6" s="13">
        <f>-25000-5000-2500</f>
        <v>-32500</v>
      </c>
      <c r="C6" s="13"/>
      <c r="D6" s="7" t="s">
        <v>18</v>
      </c>
      <c r="E6" s="8">
        <f t="shared" si="1"/>
        <v>32500</v>
      </c>
      <c r="F6" s="8">
        <f>5000+3000</f>
        <v>8000</v>
      </c>
      <c r="I6" s="13" t="s">
        <v>27</v>
      </c>
      <c r="J6" s="13"/>
      <c r="K6" s="13"/>
      <c r="L6" s="18"/>
      <c r="M6" s="11"/>
      <c r="T6" s="3" t="s">
        <v>29</v>
      </c>
    </row>
    <row r="7">
      <c r="A7" s="13" t="s">
        <v>30</v>
      </c>
      <c r="B7" s="13">
        <v>-16000.0</v>
      </c>
      <c r="C7" s="13"/>
      <c r="D7" s="13"/>
      <c r="E7" s="8">
        <f t="shared" si="1"/>
        <v>16000</v>
      </c>
      <c r="I7" s="19" t="s">
        <v>31</v>
      </c>
      <c r="J7" s="13"/>
      <c r="K7" s="13"/>
      <c r="L7" s="9" t="s">
        <v>33</v>
      </c>
      <c r="M7" s="11"/>
      <c r="T7" s="3" t="s">
        <v>34</v>
      </c>
      <c r="U7" s="3" t="s">
        <v>35</v>
      </c>
    </row>
    <row r="8">
      <c r="A8" s="13" t="s">
        <v>36</v>
      </c>
      <c r="B8" s="13"/>
      <c r="C8" s="13">
        <v>-6000.0</v>
      </c>
      <c r="D8" s="13"/>
      <c r="E8" s="8">
        <f t="shared" si="1"/>
        <v>6000</v>
      </c>
      <c r="I8" s="13" t="s">
        <v>38</v>
      </c>
      <c r="J8" s="13"/>
      <c r="K8" s="13"/>
      <c r="L8" s="18"/>
      <c r="M8" s="20"/>
      <c r="T8" s="3" t="s">
        <v>40</v>
      </c>
    </row>
    <row r="9">
      <c r="A9" s="13" t="s">
        <v>41</v>
      </c>
      <c r="B9" s="13">
        <v>-6000.0</v>
      </c>
      <c r="C9" s="13"/>
      <c r="D9" s="13" t="s">
        <v>18</v>
      </c>
      <c r="E9" s="8">
        <f t="shared" si="1"/>
        <v>6000</v>
      </c>
      <c r="I9" s="13" t="s">
        <v>42</v>
      </c>
      <c r="J9" s="13"/>
      <c r="K9" s="13"/>
      <c r="L9" s="18"/>
      <c r="O9" s="23" t="s">
        <v>43</v>
      </c>
      <c r="P9" s="6"/>
    </row>
    <row r="10">
      <c r="A10" s="13" t="s">
        <v>45</v>
      </c>
      <c r="B10" s="13">
        <v>0.0</v>
      </c>
      <c r="C10" s="13">
        <v>-17000.0</v>
      </c>
      <c r="D10" s="13"/>
      <c r="E10" s="8">
        <f t="shared" si="1"/>
        <v>17000</v>
      </c>
      <c r="I10" s="13" t="s">
        <v>47</v>
      </c>
      <c r="J10" s="13"/>
      <c r="K10" s="13"/>
      <c r="L10" s="9" t="s">
        <v>48</v>
      </c>
      <c r="O10" s="7" t="s">
        <v>49</v>
      </c>
      <c r="P10" s="7" t="s">
        <v>50</v>
      </c>
    </row>
    <row r="11">
      <c r="A11" s="13" t="s">
        <v>51</v>
      </c>
      <c r="B11" s="13">
        <v>-8000.0</v>
      </c>
      <c r="C11" s="24">
        <v>0.0</v>
      </c>
      <c r="D11" s="13" t="s">
        <v>18</v>
      </c>
      <c r="E11" s="8">
        <f t="shared" si="1"/>
        <v>8000</v>
      </c>
      <c r="I11" s="13" t="s">
        <v>52</v>
      </c>
      <c r="J11" s="13"/>
      <c r="K11" s="13"/>
      <c r="L11" s="18"/>
      <c r="O11" s="10">
        <v>0.0</v>
      </c>
      <c r="P11" s="7">
        <v>0.0</v>
      </c>
    </row>
    <row r="12">
      <c r="A12" s="13" t="s">
        <v>53</v>
      </c>
      <c r="B12" s="13">
        <v>-8000.0</v>
      </c>
      <c r="C12" s="13">
        <v>0.0</v>
      </c>
      <c r="D12" s="13" t="s">
        <v>18</v>
      </c>
      <c r="E12" s="8">
        <f t="shared" si="1"/>
        <v>8000</v>
      </c>
      <c r="I12" s="13" t="s">
        <v>54</v>
      </c>
      <c r="J12" s="13"/>
      <c r="K12" s="13"/>
      <c r="L12" s="13" t="s">
        <v>55</v>
      </c>
    </row>
    <row r="13">
      <c r="A13" s="7" t="s">
        <v>56</v>
      </c>
      <c r="B13" s="7">
        <v>-318.0</v>
      </c>
      <c r="C13" s="26"/>
      <c r="D13" s="13"/>
      <c r="E13" s="8">
        <f t="shared" si="1"/>
        <v>318</v>
      </c>
      <c r="I13" s="13" t="s">
        <v>57</v>
      </c>
      <c r="J13" s="7"/>
      <c r="K13" s="7"/>
      <c r="L13" s="9" t="s">
        <v>58</v>
      </c>
      <c r="T13" s="3" t="s">
        <v>60</v>
      </c>
    </row>
    <row r="14">
      <c r="A14" s="13" t="s">
        <v>61</v>
      </c>
      <c r="B14" s="7">
        <v>-500.0</v>
      </c>
      <c r="C14" s="13"/>
      <c r="D14" s="7" t="s">
        <v>18</v>
      </c>
      <c r="E14" s="8">
        <f t="shared" si="1"/>
        <v>500</v>
      </c>
      <c r="I14" s="19" t="s">
        <v>62</v>
      </c>
      <c r="J14" s="13"/>
      <c r="K14" s="13"/>
      <c r="L14" s="13" t="s">
        <v>63</v>
      </c>
      <c r="O14" s="23" t="s">
        <v>64</v>
      </c>
      <c r="P14" s="6"/>
      <c r="Q14" s="3" t="s">
        <v>65</v>
      </c>
      <c r="T14" s="3" t="s">
        <v>66</v>
      </c>
    </row>
    <row r="15">
      <c r="A15" s="7" t="s">
        <v>67</v>
      </c>
      <c r="B15" s="7">
        <v>-10000.0</v>
      </c>
      <c r="C15" s="26"/>
      <c r="D15" s="7" t="s">
        <v>18</v>
      </c>
      <c r="E15" s="8">
        <f t="shared" si="1"/>
        <v>10000</v>
      </c>
      <c r="F15" s="3">
        <v>100000.0</v>
      </c>
      <c r="I15" s="28" t="s">
        <v>68</v>
      </c>
      <c r="J15" s="13"/>
      <c r="K15" s="13"/>
      <c r="L15" s="13" t="s">
        <v>70</v>
      </c>
      <c r="O15" s="7" t="s">
        <v>71</v>
      </c>
      <c r="P15" s="7" t="s">
        <v>50</v>
      </c>
    </row>
    <row r="16">
      <c r="A16" s="7" t="s">
        <v>72</v>
      </c>
      <c r="B16" s="7">
        <v>-60000.0</v>
      </c>
      <c r="C16" s="26"/>
      <c r="D16" s="26"/>
      <c r="E16" s="8">
        <f t="shared" si="1"/>
        <v>60000</v>
      </c>
      <c r="I16" s="13" t="s">
        <v>73</v>
      </c>
      <c r="J16" s="13"/>
      <c r="K16" s="13"/>
      <c r="L16" s="18"/>
      <c r="O16" s="7">
        <f>302504+25000+181000</f>
        <v>508504</v>
      </c>
      <c r="P16" s="7">
        <v>334505.0</v>
      </c>
      <c r="Q16" s="8">
        <f>O16-P16</f>
        <v>173999</v>
      </c>
      <c r="R16" s="3" t="s">
        <v>74</v>
      </c>
      <c r="S16" s="3" t="s">
        <v>75</v>
      </c>
      <c r="T16" s="3">
        <f>460000+230000+P16</f>
        <v>1024505</v>
      </c>
    </row>
    <row r="17">
      <c r="A17" s="7" t="s">
        <v>78</v>
      </c>
      <c r="B17" s="7">
        <v>-20000.0</v>
      </c>
      <c r="C17" s="26"/>
      <c r="D17" s="26"/>
      <c r="I17" s="13" t="s">
        <v>77</v>
      </c>
      <c r="J17" s="13"/>
      <c r="K17" s="13"/>
      <c r="L17" s="18"/>
      <c r="T17" s="8">
        <f>O16-T16</f>
        <v>-516001</v>
      </c>
    </row>
    <row r="18">
      <c r="A18" s="7" t="s">
        <v>83</v>
      </c>
      <c r="B18" s="7">
        <v>-66350.0</v>
      </c>
      <c r="C18" s="26"/>
      <c r="D18" s="26"/>
      <c r="I18" s="19" t="s">
        <v>80</v>
      </c>
      <c r="J18" s="13"/>
      <c r="K18" s="13"/>
      <c r="L18" s="18"/>
      <c r="O18" s="23" t="s">
        <v>81</v>
      </c>
      <c r="P18" s="6"/>
    </row>
    <row r="19">
      <c r="A19" s="7"/>
      <c r="B19" s="7"/>
      <c r="C19" s="26"/>
      <c r="D19" s="26"/>
      <c r="I19" s="19" t="s">
        <v>84</v>
      </c>
      <c r="J19" s="13"/>
      <c r="K19" s="13"/>
      <c r="L19" s="1"/>
      <c r="O19" s="7" t="s">
        <v>71</v>
      </c>
      <c r="P19" s="7" t="s">
        <v>50</v>
      </c>
    </row>
    <row r="20">
      <c r="A20" s="7"/>
      <c r="B20" s="7"/>
      <c r="C20" s="7"/>
      <c r="D20" s="26"/>
      <c r="I20" s="19" t="s">
        <v>85</v>
      </c>
      <c r="J20" s="13"/>
      <c r="K20" s="13"/>
      <c r="L20" s="1"/>
      <c r="O20" s="3">
        <v>900.0</v>
      </c>
      <c r="P20" s="3">
        <v>900.0</v>
      </c>
    </row>
    <row r="21">
      <c r="A21" s="13" t="s">
        <v>86</v>
      </c>
      <c r="B21" s="26">
        <f t="shared" ref="B21:C21" si="2">SUM(B3:B20)</f>
        <v>25756</v>
      </c>
      <c r="C21" s="26">
        <f t="shared" si="2"/>
        <v>11067</v>
      </c>
      <c r="D21" s="26"/>
      <c r="I21" s="19" t="s">
        <v>88</v>
      </c>
      <c r="J21" s="13"/>
      <c r="K21" s="13"/>
      <c r="L21" s="1"/>
      <c r="O21" s="20"/>
      <c r="P21" s="20"/>
      <c r="Q21" s="20"/>
      <c r="R21" s="20"/>
    </row>
    <row r="22">
      <c r="I22" s="13" t="s">
        <v>89</v>
      </c>
      <c r="J22" s="13"/>
      <c r="K22" s="13"/>
      <c r="L22" s="9" t="s">
        <v>33</v>
      </c>
      <c r="O22" s="20"/>
      <c r="P22" s="20"/>
      <c r="Q22" s="20"/>
      <c r="R22" s="20"/>
    </row>
    <row r="23">
      <c r="I23" s="19" t="s">
        <v>90</v>
      </c>
      <c r="J23" s="13"/>
      <c r="K23" s="13"/>
      <c r="L23" s="1"/>
      <c r="O23" s="23" t="s">
        <v>91</v>
      </c>
      <c r="P23" s="6"/>
      <c r="Q23" s="20"/>
      <c r="R23" s="20"/>
    </row>
    <row r="24">
      <c r="I24" s="13" t="s">
        <v>93</v>
      </c>
      <c r="J24" s="13"/>
      <c r="K24" s="29"/>
      <c r="L24" s="13" t="s">
        <v>63</v>
      </c>
      <c r="O24" s="7" t="s">
        <v>71</v>
      </c>
      <c r="P24" s="7" t="s">
        <v>50</v>
      </c>
      <c r="Q24" s="20" t="s">
        <v>95</v>
      </c>
      <c r="R24" s="20" t="s">
        <v>96</v>
      </c>
    </row>
    <row r="25">
      <c r="I25" s="30" t="s">
        <v>97</v>
      </c>
      <c r="J25" s="13"/>
      <c r="K25" s="29"/>
      <c r="L25" s="1"/>
      <c r="O25" s="7">
        <f>333460+16000</f>
        <v>349460</v>
      </c>
      <c r="P25" s="7">
        <f>317481+14982</f>
        <v>332463</v>
      </c>
      <c r="Q25" s="20" t="s">
        <v>99</v>
      </c>
      <c r="R25" s="20" t="s">
        <v>100</v>
      </c>
      <c r="S25" s="3" t="s">
        <v>101</v>
      </c>
      <c r="T25" s="3" t="s">
        <v>102</v>
      </c>
    </row>
    <row r="26">
      <c r="I26" s="9" t="s">
        <v>103</v>
      </c>
      <c r="J26" s="13"/>
      <c r="K26" s="13"/>
      <c r="L26" s="13"/>
      <c r="P26" s="20"/>
      <c r="Q26" s="20"/>
      <c r="R26" s="20"/>
    </row>
    <row r="27">
      <c r="I27" s="19" t="s">
        <v>104</v>
      </c>
      <c r="J27" s="1"/>
      <c r="K27" s="29"/>
      <c r="L27" s="13"/>
      <c r="P27" s="20"/>
      <c r="Q27" s="20"/>
      <c r="R27" s="20"/>
    </row>
    <row r="28">
      <c r="I28" s="13" t="s">
        <v>112</v>
      </c>
      <c r="J28" s="26"/>
      <c r="K28" s="26"/>
      <c r="L28" s="13"/>
      <c r="O28" s="23" t="s">
        <v>106</v>
      </c>
      <c r="P28" s="6"/>
      <c r="Q28" s="20" t="s">
        <v>108</v>
      </c>
      <c r="R28" s="20"/>
    </row>
    <row r="29">
      <c r="I29" s="31" t="s">
        <v>114</v>
      </c>
      <c r="J29" s="26"/>
      <c r="K29" s="26"/>
      <c r="L29" s="13" t="s">
        <v>63</v>
      </c>
      <c r="O29" s="7" t="s">
        <v>71</v>
      </c>
      <c r="P29" s="7" t="s">
        <v>50</v>
      </c>
      <c r="Q29" s="20"/>
      <c r="R29" s="20" t="s">
        <v>110</v>
      </c>
    </row>
    <row r="30">
      <c r="I30" s="13" t="s">
        <v>39</v>
      </c>
      <c r="J30" s="26"/>
      <c r="K30" s="26"/>
      <c r="L30" s="1"/>
      <c r="O30" s="7">
        <v>462557.0</v>
      </c>
      <c r="P30" s="7">
        <f>436874-296200-9000-3500</f>
        <v>128174</v>
      </c>
      <c r="Q30" s="20">
        <f>O30-P30</f>
        <v>334383</v>
      </c>
      <c r="R30" s="20" t="s">
        <v>116</v>
      </c>
      <c r="S30" s="3" t="s">
        <v>120</v>
      </c>
    </row>
    <row r="31">
      <c r="I31" s="13" t="s">
        <v>115</v>
      </c>
      <c r="J31" s="26"/>
      <c r="K31" s="26"/>
      <c r="L31" s="13" t="s">
        <v>118</v>
      </c>
      <c r="P31" s="20"/>
      <c r="Q31" s="20"/>
      <c r="R31" s="20"/>
    </row>
    <row r="32">
      <c r="I32" s="1"/>
      <c r="J32" s="26"/>
      <c r="K32" s="26"/>
      <c r="L32" s="26"/>
      <c r="O32" s="23" t="s">
        <v>117</v>
      </c>
      <c r="P32" s="6"/>
      <c r="Q32" s="20"/>
      <c r="R32" s="20"/>
    </row>
    <row r="33">
      <c r="O33" s="7" t="s">
        <v>71</v>
      </c>
      <c r="P33" s="7" t="s">
        <v>50</v>
      </c>
      <c r="Q33" s="20"/>
      <c r="R33" s="20"/>
    </row>
    <row r="34">
      <c r="I34" s="4" t="s">
        <v>119</v>
      </c>
      <c r="J34" s="5"/>
      <c r="K34" s="5"/>
      <c r="L34" s="5"/>
      <c r="M34" s="6"/>
      <c r="O34" s="7">
        <f t="shared" ref="O34:P34" si="3">11040+8000</f>
        <v>19040</v>
      </c>
      <c r="P34" s="7">
        <f t="shared" si="3"/>
        <v>19040</v>
      </c>
      <c r="Q34" s="3" t="s">
        <v>121</v>
      </c>
      <c r="R34" s="20"/>
    </row>
    <row r="35">
      <c r="I35" s="9" t="s">
        <v>6</v>
      </c>
      <c r="J35" s="9" t="s">
        <v>9</v>
      </c>
      <c r="K35" s="10" t="s">
        <v>11</v>
      </c>
      <c r="L35" s="11"/>
      <c r="M35" s="11"/>
    </row>
    <row r="36">
      <c r="I36" s="3">
        <f>675777+10000+73000+(143084-8382)</f>
        <v>893479</v>
      </c>
      <c r="J36" s="3">
        <f>657342+83000+143084</f>
        <v>883426</v>
      </c>
      <c r="K36" s="12">
        <f>(J36-I36)/I36*100</f>
        <v>-1.125152354</v>
      </c>
      <c r="L36" s="11"/>
      <c r="M36" s="11"/>
      <c r="O36" s="23" t="s">
        <v>123</v>
      </c>
      <c r="P36" s="6"/>
    </row>
    <row r="37">
      <c r="I37" s="11"/>
      <c r="J37" s="11"/>
      <c r="K37" s="11"/>
      <c r="L37" s="11"/>
      <c r="M37" s="11"/>
      <c r="O37" s="7" t="s">
        <v>71</v>
      </c>
      <c r="P37" s="7" t="s">
        <v>50</v>
      </c>
    </row>
    <row r="38" ht="22.5" customHeight="1">
      <c r="I38" s="32" t="s">
        <v>22</v>
      </c>
      <c r="J38" s="32" t="s">
        <v>23</v>
      </c>
      <c r="K38" s="32" t="s">
        <v>24</v>
      </c>
      <c r="L38" s="32" t="s">
        <v>125</v>
      </c>
      <c r="M38" s="33" t="s">
        <v>126</v>
      </c>
      <c r="O38" s="7">
        <f>5000+15000</f>
        <v>20000</v>
      </c>
      <c r="P38" s="7">
        <v>12452.0</v>
      </c>
      <c r="Q38" s="3" t="s">
        <v>132</v>
      </c>
    </row>
    <row r="39" ht="22.5" customHeight="1">
      <c r="I39" s="21" t="s">
        <v>47</v>
      </c>
      <c r="J39" s="21">
        <v>9.9</v>
      </c>
      <c r="K39" s="21">
        <v>4999.0</v>
      </c>
      <c r="L39" s="21" t="s">
        <v>127</v>
      </c>
      <c r="M39" s="35"/>
    </row>
    <row r="40" ht="22.5" customHeight="1">
      <c r="I40" s="21" t="s">
        <v>52</v>
      </c>
      <c r="J40" s="21">
        <v>140.0</v>
      </c>
      <c r="K40" s="21">
        <v>4999.0</v>
      </c>
      <c r="L40" s="21" t="s">
        <v>127</v>
      </c>
      <c r="M40" s="35"/>
      <c r="O40" s="23" t="s">
        <v>130</v>
      </c>
      <c r="P40" s="6"/>
    </row>
    <row r="41" ht="22.5" customHeight="1">
      <c r="I41" s="25" t="s">
        <v>88</v>
      </c>
      <c r="J41" s="21">
        <v>1310.3</v>
      </c>
      <c r="K41" s="21">
        <v>22998.0</v>
      </c>
      <c r="L41" s="21" t="s">
        <v>133</v>
      </c>
      <c r="M41" s="36"/>
      <c r="O41" s="7" t="s">
        <v>71</v>
      </c>
      <c r="P41" s="7" t="s">
        <v>50</v>
      </c>
      <c r="Q41" s="3" t="s">
        <v>135</v>
      </c>
    </row>
    <row r="42" ht="22.5" customHeight="1">
      <c r="I42" s="25" t="s">
        <v>90</v>
      </c>
      <c r="J42" s="21">
        <v>188.4</v>
      </c>
      <c r="K42" s="21">
        <v>14499.0</v>
      </c>
      <c r="L42" s="21" t="s">
        <v>133</v>
      </c>
      <c r="O42" s="7">
        <v>71525.0</v>
      </c>
      <c r="P42" s="7">
        <f>142425-66400-4500</f>
        <v>71525</v>
      </c>
      <c r="Q42" s="3" t="s">
        <v>138</v>
      </c>
      <c r="R42" s="3" t="s">
        <v>139</v>
      </c>
      <c r="S42" s="3" t="s">
        <v>140</v>
      </c>
    </row>
    <row r="43" ht="22.5" customHeight="1">
      <c r="I43" s="21" t="s">
        <v>141</v>
      </c>
      <c r="J43" s="21">
        <v>398.9</v>
      </c>
      <c r="K43" s="21">
        <v>5999.0</v>
      </c>
      <c r="L43" s="21" t="s">
        <v>133</v>
      </c>
    </row>
    <row r="44" ht="22.5" customHeight="1">
      <c r="I44" s="21" t="s">
        <v>143</v>
      </c>
      <c r="J44" s="21">
        <v>1013.0</v>
      </c>
      <c r="K44" s="21">
        <v>64996.0</v>
      </c>
      <c r="L44" s="21" t="s">
        <v>144</v>
      </c>
      <c r="O44" s="23" t="s">
        <v>145</v>
      </c>
      <c r="P44" s="6"/>
    </row>
    <row r="45" ht="22.5" customHeight="1">
      <c r="I45" s="21" t="s">
        <v>105</v>
      </c>
      <c r="J45" s="21">
        <v>4.0</v>
      </c>
      <c r="K45" s="21">
        <v>16208.0</v>
      </c>
      <c r="L45" s="22"/>
      <c r="O45" s="7" t="s">
        <v>71</v>
      </c>
      <c r="P45" s="7" t="s">
        <v>50</v>
      </c>
    </row>
    <row r="46" ht="22.5" customHeight="1">
      <c r="I46" s="21" t="s">
        <v>146</v>
      </c>
      <c r="J46" s="21">
        <v>15.0</v>
      </c>
      <c r="K46" s="21">
        <v>145848.0</v>
      </c>
      <c r="L46" s="21"/>
      <c r="O46" s="7">
        <v>681896.0</v>
      </c>
      <c r="P46" s="7">
        <f>412814-114649+271905-17000</f>
        <v>553070</v>
      </c>
      <c r="Q46" s="3" t="s">
        <v>156</v>
      </c>
      <c r="R46" s="3" t="s">
        <v>157</v>
      </c>
    </row>
    <row r="47" ht="22.5" customHeight="1">
      <c r="I47" s="25" t="s">
        <v>88</v>
      </c>
      <c r="J47" s="21"/>
      <c r="K47" s="21"/>
      <c r="L47" s="22"/>
    </row>
    <row r="48" ht="22.5" customHeight="1">
      <c r="I48" s="21" t="s">
        <v>57</v>
      </c>
      <c r="J48" s="21"/>
      <c r="K48" s="21"/>
      <c r="L48" s="21" t="s">
        <v>151</v>
      </c>
      <c r="O48" s="23" t="s">
        <v>152</v>
      </c>
      <c r="P48" s="6"/>
    </row>
    <row r="49" ht="22.5" customHeight="1">
      <c r="I49" s="25" t="s">
        <v>90</v>
      </c>
      <c r="J49" s="21"/>
      <c r="K49" s="21"/>
      <c r="L49" s="21"/>
      <c r="O49" s="7" t="s">
        <v>71</v>
      </c>
      <c r="P49" s="7" t="s">
        <v>50</v>
      </c>
    </row>
    <row r="50" ht="22.5" customHeight="1">
      <c r="I50" s="21" t="s">
        <v>154</v>
      </c>
      <c r="J50" s="21"/>
      <c r="K50" s="21"/>
      <c r="L50" s="21" t="s">
        <v>155</v>
      </c>
      <c r="O50" s="7">
        <v>455.0</v>
      </c>
      <c r="P50" s="7">
        <f>4046-1875-1525-191</f>
        <v>455</v>
      </c>
    </row>
    <row r="51" ht="22.5" customHeight="1">
      <c r="I51" s="21" t="s">
        <v>87</v>
      </c>
      <c r="J51" s="21"/>
      <c r="K51" s="21"/>
      <c r="L51" s="21" t="s">
        <v>158</v>
      </c>
    </row>
    <row r="52" ht="22.5" customHeight="1">
      <c r="I52" s="39" t="s">
        <v>42</v>
      </c>
      <c r="J52" s="21"/>
      <c r="K52" s="21"/>
      <c r="L52" s="21" t="s">
        <v>159</v>
      </c>
      <c r="O52" s="23" t="s">
        <v>160</v>
      </c>
      <c r="P52" s="6"/>
    </row>
    <row r="53" ht="22.5" customHeight="1">
      <c r="I53" s="21" t="s">
        <v>161</v>
      </c>
      <c r="J53" s="21"/>
      <c r="K53" s="21"/>
      <c r="L53" s="21" t="s">
        <v>162</v>
      </c>
      <c r="M53" s="36" t="s">
        <v>163</v>
      </c>
      <c r="O53" s="7" t="s">
        <v>71</v>
      </c>
      <c r="P53" s="7" t="s">
        <v>50</v>
      </c>
    </row>
    <row r="54" ht="22.5" customHeight="1">
      <c r="I54" s="21" t="s">
        <v>27</v>
      </c>
      <c r="J54" s="21"/>
      <c r="K54" s="21"/>
      <c r="L54" s="21" t="s">
        <v>159</v>
      </c>
      <c r="O54" s="7">
        <v>5100.0</v>
      </c>
      <c r="P54" s="7">
        <v>309.0</v>
      </c>
    </row>
    <row r="55" ht="22.5" customHeight="1">
      <c r="I55" s="21" t="s">
        <v>166</v>
      </c>
      <c r="J55" s="21"/>
      <c r="K55" s="21"/>
      <c r="L55" s="21" t="s">
        <v>167</v>
      </c>
    </row>
    <row r="56" ht="22.5" customHeight="1">
      <c r="I56" s="21" t="s">
        <v>168</v>
      </c>
      <c r="J56" s="21"/>
      <c r="K56" s="21"/>
      <c r="L56" s="21" t="s">
        <v>169</v>
      </c>
    </row>
    <row r="57" ht="22.5" customHeight="1">
      <c r="I57" s="21" t="s">
        <v>170</v>
      </c>
      <c r="J57" s="21"/>
      <c r="K57" s="21"/>
      <c r="L57" s="22"/>
    </row>
    <row r="58" ht="22.5" customHeight="1">
      <c r="I58" s="21" t="s">
        <v>171</v>
      </c>
      <c r="J58" s="34"/>
      <c r="K58" s="34"/>
      <c r="L58" s="34" t="s">
        <v>172</v>
      </c>
    </row>
    <row r="59" ht="22.5" customHeight="1">
      <c r="I59" s="21" t="s">
        <v>143</v>
      </c>
      <c r="J59" s="34"/>
      <c r="K59" s="34"/>
      <c r="L59" s="34" t="s">
        <v>172</v>
      </c>
    </row>
    <row r="74">
      <c r="I74" s="9" t="s">
        <v>6</v>
      </c>
      <c r="J74" s="9" t="s">
        <v>9</v>
      </c>
      <c r="K74" s="10" t="s">
        <v>11</v>
      </c>
    </row>
    <row r="75">
      <c r="I75" s="3">
        <v>663583.0</v>
      </c>
      <c r="J75" s="3">
        <v>836891.0</v>
      </c>
      <c r="K75" s="12">
        <f>(J75-I75)/I75*100</f>
        <v>26.1170042</v>
      </c>
    </row>
    <row r="76" ht="22.5" customHeight="1">
      <c r="I76" s="32" t="s">
        <v>22</v>
      </c>
      <c r="J76" s="32" t="s">
        <v>23</v>
      </c>
      <c r="K76" s="32" t="s">
        <v>24</v>
      </c>
      <c r="L76" s="32" t="s">
        <v>125</v>
      </c>
      <c r="M76" s="33" t="s">
        <v>126</v>
      </c>
    </row>
    <row r="77" ht="22.5" customHeight="1">
      <c r="I77" s="41" t="s">
        <v>175</v>
      </c>
      <c r="J77" s="41">
        <v>547.0</v>
      </c>
      <c r="K77" s="41">
        <v>31398.0</v>
      </c>
      <c r="L77" s="41" t="s">
        <v>176</v>
      </c>
    </row>
    <row r="78" ht="22.5" customHeight="1">
      <c r="I78" s="41" t="s">
        <v>177</v>
      </c>
      <c r="J78" s="41">
        <v>681.0</v>
      </c>
      <c r="K78" s="41">
        <v>22398.0</v>
      </c>
      <c r="L78" s="41" t="s">
        <v>178</v>
      </c>
    </row>
    <row r="79" ht="22.5" customHeight="1">
      <c r="I79" s="41" t="s">
        <v>180</v>
      </c>
      <c r="J79" s="41">
        <v>6522.0</v>
      </c>
      <c r="K79" s="41">
        <v>412979.0</v>
      </c>
      <c r="L79" s="41" t="s">
        <v>182</v>
      </c>
      <c r="M79" s="36" t="s">
        <v>163</v>
      </c>
    </row>
    <row r="80" ht="22.5" customHeight="1">
      <c r="I80" s="41" t="s">
        <v>183</v>
      </c>
      <c r="J80" s="41">
        <v>437.0</v>
      </c>
      <c r="K80" s="41">
        <v>92995.0</v>
      </c>
      <c r="L80" s="41" t="s">
        <v>185</v>
      </c>
    </row>
    <row r="81" ht="22.5" customHeight="1">
      <c r="I81" s="41" t="s">
        <v>186</v>
      </c>
      <c r="J81" s="41">
        <v>1682.0</v>
      </c>
      <c r="K81" s="41">
        <v>193990.0</v>
      </c>
      <c r="L81" s="41" t="s">
        <v>189</v>
      </c>
      <c r="M81" s="36" t="s">
        <v>163</v>
      </c>
    </row>
    <row r="82">
      <c r="I82" s="7" t="s">
        <v>191</v>
      </c>
      <c r="J82" s="7">
        <v>451.0</v>
      </c>
      <c r="K82" s="7">
        <v>15999.0</v>
      </c>
      <c r="L82" s="7" t="s">
        <v>192</v>
      </c>
    </row>
  </sheetData>
  <mergeCells count="14">
    <mergeCell ref="O32:P32"/>
    <mergeCell ref="I34:M34"/>
    <mergeCell ref="O36:P36"/>
    <mergeCell ref="O40:P40"/>
    <mergeCell ref="O44:P44"/>
    <mergeCell ref="O48:P48"/>
    <mergeCell ref="O52:P52"/>
    <mergeCell ref="I1:M1"/>
    <mergeCell ref="S2:S7"/>
    <mergeCell ref="O9:P9"/>
    <mergeCell ref="O14:P14"/>
    <mergeCell ref="O18:P18"/>
    <mergeCell ref="O23:P23"/>
    <mergeCell ref="O28:P28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2.63"/>
    <col customWidth="1" min="4" max="4" width="25.88"/>
    <col customWidth="1" min="9" max="9" width="34.25"/>
    <col customWidth="1" min="11" max="11" width="19.13"/>
    <col customWidth="1" min="12" max="12" width="37.13"/>
    <col customWidth="1" min="15" max="15" width="26.75"/>
    <col customWidth="1" min="16" max="16" width="13.0"/>
    <col customWidth="1" min="20" max="20" width="42.88"/>
  </cols>
  <sheetData>
    <row r="1">
      <c r="A1" s="1"/>
      <c r="B1" s="2" t="s">
        <v>0</v>
      </c>
      <c r="C1" s="2" t="s">
        <v>1</v>
      </c>
      <c r="D1" s="2" t="s">
        <v>2</v>
      </c>
      <c r="F1" s="3" t="s">
        <v>3</v>
      </c>
      <c r="G1" s="3" t="s">
        <v>4</v>
      </c>
      <c r="I1" s="4" t="s">
        <v>5</v>
      </c>
      <c r="J1" s="5"/>
      <c r="K1" s="5"/>
      <c r="L1" s="5"/>
      <c r="M1" s="6"/>
    </row>
    <row r="2">
      <c r="B2" s="7">
        <f>436874-296200-9000-3500+B3</f>
        <v>424374</v>
      </c>
      <c r="C2" s="7">
        <f>412814-114649+271905-17000+C3</f>
        <v>667719</v>
      </c>
      <c r="E2" s="8">
        <f>B2-B3</f>
        <v>128174</v>
      </c>
      <c r="I2" s="9" t="s">
        <v>15</v>
      </c>
      <c r="J2" s="9" t="s">
        <v>10</v>
      </c>
      <c r="K2" s="10" t="s">
        <v>11</v>
      </c>
      <c r="L2" s="11"/>
      <c r="M2" s="11"/>
      <c r="S2" s="3" t="s">
        <v>12</v>
      </c>
      <c r="T2" s="3" t="s">
        <v>13</v>
      </c>
    </row>
    <row r="3">
      <c r="A3" s="2" t="s">
        <v>14</v>
      </c>
      <c r="B3" s="3">
        <v>296200.0</v>
      </c>
      <c r="C3" s="2">
        <v>114649.0</v>
      </c>
      <c r="D3" s="2"/>
      <c r="E3" s="3">
        <v>53726.0</v>
      </c>
      <c r="G3" s="8">
        <f>-(B4+B6+B7+B8+B9+B12+C10+C8+C4)</f>
        <v>99000</v>
      </c>
      <c r="I3" s="11">
        <f>1338244+3576693</f>
        <v>4914937</v>
      </c>
      <c r="J3" s="11">
        <f>1479587+4418918</f>
        <v>5898505</v>
      </c>
      <c r="K3" s="12">
        <f>(J3-I3)/I3*100</f>
        <v>20.01181297</v>
      </c>
      <c r="L3" s="11"/>
      <c r="M3" s="11"/>
      <c r="T3" s="3" t="s">
        <v>16</v>
      </c>
    </row>
    <row r="4">
      <c r="A4" s="13" t="s">
        <v>17</v>
      </c>
      <c r="B4" s="13">
        <f>-20000-8000-2000</f>
        <v>-30000</v>
      </c>
      <c r="C4" s="13"/>
      <c r="D4" s="13"/>
      <c r="E4" s="8">
        <f t="shared" ref="E4:E16" si="1">-(B4)-C4</f>
        <v>30000</v>
      </c>
      <c r="L4" s="11"/>
      <c r="M4" s="11"/>
      <c r="T4" s="3" t="s">
        <v>20</v>
      </c>
    </row>
    <row r="5">
      <c r="A5" s="13" t="s">
        <v>21</v>
      </c>
      <c r="B5" s="13">
        <f>-80000</f>
        <v>-80000</v>
      </c>
      <c r="C5" s="13">
        <v>-68000.0</v>
      </c>
      <c r="D5" s="13"/>
      <c r="E5" s="8">
        <f t="shared" si="1"/>
        <v>148000</v>
      </c>
      <c r="I5" s="14" t="s">
        <v>22</v>
      </c>
      <c r="J5" s="14" t="s">
        <v>23</v>
      </c>
      <c r="K5" s="14" t="s">
        <v>24</v>
      </c>
      <c r="L5" s="15"/>
      <c r="M5" s="11"/>
      <c r="T5" s="3" t="s">
        <v>25</v>
      </c>
    </row>
    <row r="6">
      <c r="A6" s="13" t="s">
        <v>26</v>
      </c>
      <c r="B6" s="13">
        <f>-25000-2500+2500</f>
        <v>-25000</v>
      </c>
      <c r="C6" s="13"/>
      <c r="D6" s="7" t="s">
        <v>37</v>
      </c>
      <c r="E6" s="8">
        <f t="shared" si="1"/>
        <v>25000</v>
      </c>
      <c r="F6" s="8">
        <f>5000+3000</f>
        <v>8000</v>
      </c>
      <c r="I6" s="13" t="s">
        <v>27</v>
      </c>
      <c r="J6" s="13"/>
      <c r="K6" s="13"/>
      <c r="L6" s="18"/>
      <c r="M6" s="11"/>
      <c r="T6" s="3" t="s">
        <v>29</v>
      </c>
    </row>
    <row r="7">
      <c r="A7" s="13" t="s">
        <v>30</v>
      </c>
      <c r="B7" s="13">
        <v>-8000.0</v>
      </c>
      <c r="C7" s="13"/>
      <c r="D7" s="13"/>
      <c r="E7" s="8">
        <f t="shared" si="1"/>
        <v>8000</v>
      </c>
      <c r="I7" s="19" t="s">
        <v>31</v>
      </c>
      <c r="J7" s="13"/>
      <c r="K7" s="13"/>
      <c r="L7" s="9" t="s">
        <v>33</v>
      </c>
      <c r="M7" s="11"/>
      <c r="T7" s="3" t="s">
        <v>34</v>
      </c>
      <c r="U7" s="3" t="s">
        <v>35</v>
      </c>
    </row>
    <row r="8">
      <c r="A8" s="13" t="s">
        <v>36</v>
      </c>
      <c r="B8" s="13"/>
      <c r="C8" s="13">
        <v>-5000.0</v>
      </c>
      <c r="D8" s="13"/>
      <c r="E8" s="8">
        <f t="shared" si="1"/>
        <v>5000</v>
      </c>
      <c r="I8" s="13" t="s">
        <v>38</v>
      </c>
      <c r="J8" s="13"/>
      <c r="K8" s="13"/>
      <c r="L8" s="18"/>
      <c r="M8" s="20"/>
      <c r="T8" s="3" t="s">
        <v>40</v>
      </c>
    </row>
    <row r="9">
      <c r="A9" s="13" t="s">
        <v>41</v>
      </c>
      <c r="B9" s="13">
        <v>-6000.0</v>
      </c>
      <c r="C9" s="13"/>
      <c r="D9" s="13"/>
      <c r="E9" s="8">
        <f t="shared" si="1"/>
        <v>6000</v>
      </c>
      <c r="I9" s="13" t="s">
        <v>42</v>
      </c>
      <c r="J9" s="13"/>
      <c r="K9" s="13"/>
      <c r="L9" s="18"/>
      <c r="O9" s="23" t="s">
        <v>43</v>
      </c>
      <c r="P9" s="6"/>
    </row>
    <row r="10">
      <c r="A10" s="13" t="s">
        <v>45</v>
      </c>
      <c r="B10" s="13">
        <v>0.0</v>
      </c>
      <c r="C10" s="13">
        <v>-17000.0</v>
      </c>
      <c r="D10" s="13"/>
      <c r="E10" s="8">
        <f t="shared" si="1"/>
        <v>17000</v>
      </c>
      <c r="I10" s="13" t="s">
        <v>47</v>
      </c>
      <c r="J10" s="13"/>
      <c r="K10" s="13"/>
      <c r="L10" s="9" t="s">
        <v>48</v>
      </c>
      <c r="O10" s="7" t="s">
        <v>49</v>
      </c>
      <c r="P10" s="7" t="s">
        <v>50</v>
      </c>
    </row>
    <row r="11">
      <c r="A11" s="13" t="s">
        <v>51</v>
      </c>
      <c r="B11" s="13">
        <v>-8000.0</v>
      </c>
      <c r="C11" s="24">
        <v>0.0</v>
      </c>
      <c r="D11" s="13"/>
      <c r="E11" s="8">
        <f t="shared" si="1"/>
        <v>8000</v>
      </c>
      <c r="I11" s="13" t="s">
        <v>52</v>
      </c>
      <c r="J11" s="13"/>
      <c r="K11" s="13"/>
      <c r="L11" s="18"/>
      <c r="O11" s="10">
        <v>0.0</v>
      </c>
      <c r="P11" s="7">
        <v>0.0</v>
      </c>
    </row>
    <row r="12">
      <c r="A12" s="13" t="s">
        <v>53</v>
      </c>
      <c r="B12" s="13">
        <v>-8000.0</v>
      </c>
      <c r="C12" s="13">
        <v>0.0</v>
      </c>
      <c r="D12" s="13"/>
      <c r="E12" s="8">
        <f t="shared" si="1"/>
        <v>8000</v>
      </c>
      <c r="I12" s="13" t="s">
        <v>54</v>
      </c>
      <c r="J12" s="13"/>
      <c r="K12" s="13"/>
      <c r="L12" s="13" t="s">
        <v>55</v>
      </c>
    </row>
    <row r="13">
      <c r="A13" s="7" t="s">
        <v>56</v>
      </c>
      <c r="B13" s="7">
        <v>-318.0</v>
      </c>
      <c r="C13" s="26"/>
      <c r="D13" s="13"/>
      <c r="E13" s="8">
        <f t="shared" si="1"/>
        <v>318</v>
      </c>
      <c r="I13" s="13" t="s">
        <v>57</v>
      </c>
      <c r="J13" s="7"/>
      <c r="K13" s="7"/>
      <c r="L13" s="9" t="s">
        <v>58</v>
      </c>
      <c r="T13" s="3" t="s">
        <v>60</v>
      </c>
    </row>
    <row r="14">
      <c r="A14" s="13" t="s">
        <v>61</v>
      </c>
      <c r="B14" s="7">
        <v>-500.0</v>
      </c>
      <c r="C14" s="13"/>
      <c r="D14" s="7"/>
      <c r="E14" s="8">
        <f t="shared" si="1"/>
        <v>500</v>
      </c>
      <c r="I14" s="19" t="s">
        <v>62</v>
      </c>
      <c r="J14" s="13"/>
      <c r="K14" s="13"/>
      <c r="L14" s="13" t="s">
        <v>63</v>
      </c>
      <c r="O14" s="23" t="s">
        <v>64</v>
      </c>
      <c r="P14" s="6"/>
      <c r="Q14" s="3" t="s">
        <v>65</v>
      </c>
      <c r="T14" s="3" t="s">
        <v>66</v>
      </c>
    </row>
    <row r="15">
      <c r="A15" s="7" t="s">
        <v>67</v>
      </c>
      <c r="B15" s="7">
        <v>-10000.0</v>
      </c>
      <c r="C15" s="26"/>
      <c r="D15" s="7"/>
      <c r="E15" s="8">
        <f t="shared" si="1"/>
        <v>10000</v>
      </c>
      <c r="F15" s="3">
        <v>100000.0</v>
      </c>
      <c r="I15" s="28" t="s">
        <v>68</v>
      </c>
      <c r="J15" s="13"/>
      <c r="K15" s="13"/>
      <c r="L15" s="13" t="s">
        <v>70</v>
      </c>
      <c r="O15" s="7" t="s">
        <v>71</v>
      </c>
      <c r="P15" s="7" t="s">
        <v>50</v>
      </c>
    </row>
    <row r="16">
      <c r="A16" s="7" t="s">
        <v>72</v>
      </c>
      <c r="B16" s="7">
        <v>-60000.0</v>
      </c>
      <c r="C16" s="26"/>
      <c r="D16" s="26"/>
      <c r="E16" s="8">
        <f t="shared" si="1"/>
        <v>60000</v>
      </c>
      <c r="I16" s="13" t="s">
        <v>73</v>
      </c>
      <c r="J16" s="13"/>
      <c r="K16" s="13"/>
      <c r="L16" s="18"/>
      <c r="O16" s="7">
        <f>334505+168000</f>
        <v>502505</v>
      </c>
      <c r="P16" s="7">
        <f>55297+288000-121</f>
        <v>343176</v>
      </c>
      <c r="Q16" s="8">
        <f>O16-P16</f>
        <v>159329</v>
      </c>
      <c r="R16" s="3" t="s">
        <v>74</v>
      </c>
      <c r="S16" s="3" t="s">
        <v>75</v>
      </c>
      <c r="T16" s="3">
        <f>460000+230000+P16</f>
        <v>1033176</v>
      </c>
    </row>
    <row r="17">
      <c r="A17" s="7" t="s">
        <v>78</v>
      </c>
      <c r="B17" s="7">
        <v>-20000.0</v>
      </c>
      <c r="C17" s="26"/>
      <c r="D17" s="26"/>
      <c r="I17" s="13" t="s">
        <v>77</v>
      </c>
      <c r="J17" s="13"/>
      <c r="K17" s="13"/>
      <c r="L17" s="18"/>
      <c r="T17" s="8">
        <f>O16-T16</f>
        <v>-530671</v>
      </c>
    </row>
    <row r="18">
      <c r="A18" s="7" t="s">
        <v>82</v>
      </c>
      <c r="B18" s="7">
        <v>-50000.0</v>
      </c>
      <c r="C18" s="26"/>
      <c r="D18" s="26"/>
      <c r="I18" s="19" t="s">
        <v>80</v>
      </c>
      <c r="J18" s="13"/>
      <c r="K18" s="13"/>
      <c r="L18" s="18"/>
      <c r="O18" s="23" t="s">
        <v>81</v>
      </c>
      <c r="P18" s="6"/>
    </row>
    <row r="19">
      <c r="A19" s="7"/>
      <c r="B19" s="7"/>
      <c r="C19" s="26"/>
      <c r="D19" s="26"/>
      <c r="I19" s="19" t="s">
        <v>84</v>
      </c>
      <c r="J19" s="13"/>
      <c r="K19" s="13"/>
      <c r="L19" s="1"/>
      <c r="O19" s="7" t="s">
        <v>71</v>
      </c>
      <c r="P19" s="7" t="s">
        <v>50</v>
      </c>
    </row>
    <row r="20">
      <c r="A20" s="7"/>
      <c r="B20" s="7"/>
      <c r="C20" s="7"/>
      <c r="D20" s="26"/>
      <c r="I20" s="19" t="s">
        <v>85</v>
      </c>
      <c r="J20" s="13"/>
      <c r="K20" s="13"/>
      <c r="L20" s="1"/>
      <c r="O20" s="3">
        <v>900.0</v>
      </c>
      <c r="P20" s="3">
        <v>900.0</v>
      </c>
    </row>
    <row r="21">
      <c r="A21" s="13" t="s">
        <v>86</v>
      </c>
      <c r="B21" s="26">
        <f t="shared" ref="B21:C21" si="2">SUM(B3:B20)</f>
        <v>-9618</v>
      </c>
      <c r="C21" s="26">
        <f t="shared" si="2"/>
        <v>24649</v>
      </c>
      <c r="D21" s="26"/>
      <c r="I21" s="19" t="s">
        <v>88</v>
      </c>
      <c r="J21" s="13"/>
      <c r="K21" s="13"/>
      <c r="L21" s="1"/>
      <c r="O21" s="20"/>
      <c r="P21" s="20"/>
      <c r="Q21" s="20"/>
      <c r="R21" s="20"/>
    </row>
    <row r="22">
      <c r="I22" s="13" t="s">
        <v>89</v>
      </c>
      <c r="J22" s="13"/>
      <c r="K22" s="13"/>
      <c r="L22" s="9" t="s">
        <v>33</v>
      </c>
      <c r="O22" s="20"/>
      <c r="P22" s="20"/>
      <c r="Q22" s="20"/>
      <c r="R22" s="20"/>
    </row>
    <row r="23">
      <c r="I23" s="19" t="s">
        <v>90</v>
      </c>
      <c r="J23" s="13"/>
      <c r="K23" s="13"/>
      <c r="L23" s="1"/>
      <c r="O23" s="23" t="s">
        <v>91</v>
      </c>
      <c r="P23" s="6"/>
      <c r="Q23" s="20"/>
      <c r="R23" s="20"/>
    </row>
    <row r="24">
      <c r="I24" s="13" t="s">
        <v>93</v>
      </c>
      <c r="J24" s="13"/>
      <c r="K24" s="29"/>
      <c r="L24" s="13" t="s">
        <v>63</v>
      </c>
      <c r="O24" s="7" t="s">
        <v>71</v>
      </c>
      <c r="P24" s="7" t="s">
        <v>50</v>
      </c>
      <c r="Q24" s="20" t="s">
        <v>95</v>
      </c>
      <c r="R24" s="20" t="s">
        <v>96</v>
      </c>
    </row>
    <row r="25">
      <c r="D25" s="3" t="s">
        <v>98</v>
      </c>
      <c r="I25" s="30" t="s">
        <v>97</v>
      </c>
      <c r="J25" s="13"/>
      <c r="K25" s="29"/>
      <c r="L25" s="1"/>
      <c r="O25" s="7">
        <f>332463+16000</f>
        <v>348463</v>
      </c>
      <c r="P25" s="7">
        <f>284800+40542+7231-859</f>
        <v>331714</v>
      </c>
      <c r="Q25" s="20" t="s">
        <v>99</v>
      </c>
      <c r="R25" s="20" t="s">
        <v>100</v>
      </c>
      <c r="S25" s="3" t="s">
        <v>101</v>
      </c>
      <c r="T25" s="3" t="s">
        <v>102</v>
      </c>
    </row>
    <row r="26">
      <c r="D26" s="3" t="s">
        <v>107</v>
      </c>
      <c r="E26" s="3">
        <v>15000.0</v>
      </c>
      <c r="I26" s="9" t="s">
        <v>103</v>
      </c>
      <c r="J26" s="13"/>
      <c r="K26" s="13"/>
      <c r="L26" s="13"/>
      <c r="P26" s="20"/>
      <c r="Q26" s="20"/>
      <c r="R26" s="20"/>
    </row>
    <row r="27">
      <c r="D27" s="3" t="s">
        <v>109</v>
      </c>
      <c r="E27" s="3">
        <v>5000.0</v>
      </c>
      <c r="I27" s="19" t="s">
        <v>104</v>
      </c>
      <c r="J27" s="1"/>
      <c r="K27" s="29"/>
      <c r="L27" s="13"/>
      <c r="P27" s="20"/>
      <c r="Q27" s="20"/>
      <c r="R27" s="20"/>
    </row>
    <row r="28">
      <c r="D28" s="3" t="s">
        <v>111</v>
      </c>
      <c r="E28" s="3">
        <v>10000.0</v>
      </c>
      <c r="I28" s="13" t="s">
        <v>112</v>
      </c>
      <c r="J28" s="26"/>
      <c r="K28" s="26"/>
      <c r="L28" s="13"/>
      <c r="O28" s="23" t="s">
        <v>106</v>
      </c>
      <c r="P28" s="6"/>
      <c r="Q28" s="20" t="s">
        <v>108</v>
      </c>
      <c r="R28" s="20"/>
    </row>
    <row r="29">
      <c r="I29" s="31" t="s">
        <v>114</v>
      </c>
      <c r="J29" s="26"/>
      <c r="K29" s="26"/>
      <c r="L29" s="13" t="s">
        <v>63</v>
      </c>
      <c r="O29" s="7" t="s">
        <v>71</v>
      </c>
      <c r="P29" s="7" t="s">
        <v>50</v>
      </c>
      <c r="Q29" s="20"/>
      <c r="R29" s="20" t="s">
        <v>110</v>
      </c>
    </row>
    <row r="30">
      <c r="I30" s="13" t="s">
        <v>39</v>
      </c>
      <c r="J30" s="26"/>
      <c r="K30" s="26"/>
      <c r="L30" s="1"/>
      <c r="O30" s="7">
        <v>424374.0</v>
      </c>
      <c r="P30" s="7">
        <f>123491-10000+10000-6000</f>
        <v>117491</v>
      </c>
      <c r="Q30" s="20">
        <f>O30-P30</f>
        <v>306883</v>
      </c>
      <c r="R30" s="20" t="s">
        <v>116</v>
      </c>
      <c r="S30" s="3" t="s">
        <v>120</v>
      </c>
    </row>
    <row r="31">
      <c r="I31" s="13" t="s">
        <v>115</v>
      </c>
      <c r="J31" s="26"/>
      <c r="K31" s="26"/>
      <c r="L31" s="13" t="s">
        <v>118</v>
      </c>
      <c r="P31" s="20"/>
      <c r="Q31" s="20"/>
      <c r="R31" s="20"/>
    </row>
    <row r="32">
      <c r="I32" s="1"/>
      <c r="J32" s="26"/>
      <c r="K32" s="26"/>
      <c r="L32" s="26"/>
      <c r="O32" s="23" t="s">
        <v>117</v>
      </c>
      <c r="P32" s="6"/>
      <c r="Q32" s="20"/>
      <c r="R32" s="20"/>
    </row>
    <row r="33">
      <c r="O33" s="7" t="s">
        <v>71</v>
      </c>
      <c r="P33" s="7" t="s">
        <v>50</v>
      </c>
      <c r="Q33" s="20"/>
      <c r="R33" s="20"/>
    </row>
    <row r="34">
      <c r="I34" s="4" t="s">
        <v>119</v>
      </c>
      <c r="J34" s="5"/>
      <c r="K34" s="5"/>
      <c r="L34" s="5"/>
      <c r="M34" s="6"/>
      <c r="O34" s="7">
        <f t="shared" ref="O34:P34" si="3">11040+8000</f>
        <v>19040</v>
      </c>
      <c r="P34" s="7">
        <f t="shared" si="3"/>
        <v>19040</v>
      </c>
      <c r="Q34" s="3" t="s">
        <v>121</v>
      </c>
      <c r="R34" s="20"/>
    </row>
    <row r="35">
      <c r="I35" s="9" t="s">
        <v>15</v>
      </c>
      <c r="J35" s="9" t="s">
        <v>10</v>
      </c>
      <c r="K35" s="10" t="s">
        <v>11</v>
      </c>
      <c r="L35" s="11"/>
      <c r="M35" s="11"/>
    </row>
    <row r="36">
      <c r="I36" s="3">
        <f>810225+66296</f>
        <v>876521</v>
      </c>
      <c r="J36" s="3">
        <f>741032+(66296-3408)</f>
        <v>803920</v>
      </c>
      <c r="K36" s="12">
        <f>(J36-I36)/I36*100</f>
        <v>-8.282859167</v>
      </c>
      <c r="L36" s="11"/>
      <c r="M36" s="11"/>
      <c r="O36" s="23" t="s">
        <v>123</v>
      </c>
      <c r="P36" s="6"/>
    </row>
    <row r="37">
      <c r="I37" s="11"/>
      <c r="J37" s="11"/>
      <c r="K37" s="11"/>
      <c r="L37" s="11"/>
      <c r="M37" s="11"/>
      <c r="O37" s="7" t="s">
        <v>71</v>
      </c>
      <c r="P37" s="7" t="s">
        <v>50</v>
      </c>
    </row>
    <row r="38" ht="22.5" customHeight="1">
      <c r="I38" s="32" t="s">
        <v>22</v>
      </c>
      <c r="J38" s="32" t="s">
        <v>23</v>
      </c>
      <c r="K38" s="32" t="s">
        <v>24</v>
      </c>
      <c r="L38" s="32" t="s">
        <v>125</v>
      </c>
      <c r="M38" s="33" t="s">
        <v>126</v>
      </c>
      <c r="O38" s="7">
        <f>12452-7000+15000</f>
        <v>20452</v>
      </c>
      <c r="P38" s="7">
        <f>9148-280-1300</f>
        <v>7568</v>
      </c>
      <c r="Q38" s="3" t="s">
        <v>128</v>
      </c>
      <c r="R38" s="8">
        <f>9148-1300-1000</f>
        <v>6848</v>
      </c>
    </row>
    <row r="39" ht="22.5" customHeight="1">
      <c r="I39" s="21" t="s">
        <v>47</v>
      </c>
      <c r="J39" s="21">
        <v>9.9</v>
      </c>
      <c r="K39" s="21">
        <v>4999.0</v>
      </c>
      <c r="L39" s="21" t="s">
        <v>127</v>
      </c>
      <c r="M39" s="35"/>
    </row>
    <row r="40" ht="22.5" customHeight="1">
      <c r="I40" s="21" t="s">
        <v>52</v>
      </c>
      <c r="J40" s="21">
        <v>140.0</v>
      </c>
      <c r="K40" s="21">
        <v>4999.0</v>
      </c>
      <c r="L40" s="21" t="s">
        <v>127</v>
      </c>
      <c r="M40" s="35"/>
      <c r="O40" s="23" t="s">
        <v>130</v>
      </c>
      <c r="P40" s="6"/>
    </row>
    <row r="41" ht="22.5" customHeight="1">
      <c r="I41" s="25" t="s">
        <v>88</v>
      </c>
      <c r="J41" s="21">
        <v>1310.3</v>
      </c>
      <c r="K41" s="21">
        <v>22998.0</v>
      </c>
      <c r="L41" s="21" t="s">
        <v>133</v>
      </c>
      <c r="M41" s="36"/>
      <c r="O41" s="7" t="s">
        <v>71</v>
      </c>
      <c r="P41" s="7" t="s">
        <v>50</v>
      </c>
      <c r="Q41" s="3" t="s">
        <v>135</v>
      </c>
    </row>
    <row r="42" ht="22.5" customHeight="1">
      <c r="I42" s="25" t="s">
        <v>90</v>
      </c>
      <c r="J42" s="21">
        <v>188.4</v>
      </c>
      <c r="K42" s="21">
        <v>14499.0</v>
      </c>
      <c r="L42" s="21" t="s">
        <v>133</v>
      </c>
      <c r="O42" s="7">
        <v>71525.0</v>
      </c>
      <c r="P42" s="7">
        <v>71576.0</v>
      </c>
      <c r="Q42" s="3" t="s">
        <v>138</v>
      </c>
      <c r="R42" s="3" t="s">
        <v>139</v>
      </c>
      <c r="S42" s="3" t="s">
        <v>140</v>
      </c>
    </row>
    <row r="43" ht="22.5" customHeight="1">
      <c r="I43" s="21" t="s">
        <v>141</v>
      </c>
      <c r="J43" s="21">
        <v>398.9</v>
      </c>
      <c r="K43" s="21">
        <v>5999.0</v>
      </c>
      <c r="L43" s="21" t="s">
        <v>133</v>
      </c>
    </row>
    <row r="44" ht="22.5" customHeight="1">
      <c r="I44" s="21" t="s">
        <v>143</v>
      </c>
      <c r="J44" s="21">
        <v>1013.0</v>
      </c>
      <c r="K44" s="21">
        <v>64996.0</v>
      </c>
      <c r="L44" s="21" t="s">
        <v>144</v>
      </c>
      <c r="O44" s="23" t="s">
        <v>145</v>
      </c>
      <c r="P44" s="6"/>
    </row>
    <row r="45" ht="22.5" customHeight="1">
      <c r="I45" s="21" t="s">
        <v>105</v>
      </c>
      <c r="J45" s="21">
        <v>4.0</v>
      </c>
      <c r="K45" s="21">
        <v>16208.0</v>
      </c>
      <c r="L45" s="22"/>
      <c r="O45" s="7" t="s">
        <v>71</v>
      </c>
      <c r="P45" s="7" t="s">
        <v>50</v>
      </c>
    </row>
    <row r="46" ht="22.5" customHeight="1">
      <c r="I46" s="21" t="s">
        <v>146</v>
      </c>
      <c r="J46" s="21">
        <v>15.0</v>
      </c>
      <c r="K46" s="21">
        <v>145848.0</v>
      </c>
      <c r="L46" s="21"/>
      <c r="O46" s="7">
        <v>667719.0</v>
      </c>
      <c r="P46" s="7">
        <f>114231+288000+265930</f>
        <v>668161</v>
      </c>
      <c r="Q46" s="3" t="s">
        <v>148</v>
      </c>
      <c r="R46" s="3" t="s">
        <v>149</v>
      </c>
    </row>
    <row r="47" ht="22.5" customHeight="1">
      <c r="I47" s="25" t="s">
        <v>88</v>
      </c>
      <c r="J47" s="21"/>
      <c r="K47" s="21"/>
      <c r="L47" s="22"/>
    </row>
    <row r="48" ht="22.5" customHeight="1">
      <c r="I48" s="21" t="s">
        <v>57</v>
      </c>
      <c r="J48" s="21"/>
      <c r="K48" s="21"/>
      <c r="L48" s="21" t="s">
        <v>151</v>
      </c>
      <c r="O48" s="23" t="s">
        <v>152</v>
      </c>
      <c r="P48" s="6"/>
    </row>
    <row r="49" ht="22.5" customHeight="1">
      <c r="I49" s="25" t="s">
        <v>90</v>
      </c>
      <c r="J49" s="21"/>
      <c r="K49" s="21"/>
      <c r="L49" s="21"/>
      <c r="O49" s="7" t="s">
        <v>71</v>
      </c>
      <c r="P49" s="7" t="s">
        <v>50</v>
      </c>
    </row>
    <row r="50" ht="22.5" customHeight="1">
      <c r="I50" s="21" t="s">
        <v>154</v>
      </c>
      <c r="J50" s="21"/>
      <c r="K50" s="21"/>
      <c r="L50" s="21" t="s">
        <v>155</v>
      </c>
      <c r="O50" s="7">
        <v>455.0</v>
      </c>
      <c r="P50" s="7">
        <f>1549-114-121-859</f>
        <v>455</v>
      </c>
    </row>
    <row r="51" ht="22.5" customHeight="1">
      <c r="I51" s="21" t="s">
        <v>87</v>
      </c>
      <c r="J51" s="21"/>
      <c r="K51" s="21"/>
      <c r="L51" s="21" t="s">
        <v>158</v>
      </c>
    </row>
    <row r="52" ht="22.5" customHeight="1">
      <c r="I52" s="39" t="s">
        <v>42</v>
      </c>
      <c r="J52" s="21"/>
      <c r="K52" s="21"/>
      <c r="L52" s="21" t="s">
        <v>159</v>
      </c>
      <c r="O52" s="23" t="s">
        <v>160</v>
      </c>
      <c r="P52" s="6"/>
    </row>
    <row r="53" ht="22.5" customHeight="1">
      <c r="I53" s="21" t="s">
        <v>161</v>
      </c>
      <c r="J53" s="21"/>
      <c r="K53" s="21"/>
      <c r="L53" s="21" t="s">
        <v>162</v>
      </c>
      <c r="M53" s="36" t="s">
        <v>163</v>
      </c>
      <c r="O53" s="7" t="s">
        <v>71</v>
      </c>
      <c r="P53" s="7" t="s">
        <v>50</v>
      </c>
    </row>
    <row r="54" ht="22.5" customHeight="1">
      <c r="I54" s="21" t="s">
        <v>27</v>
      </c>
      <c r="J54" s="21"/>
      <c r="K54" s="21"/>
      <c r="L54" s="21" t="s">
        <v>159</v>
      </c>
      <c r="O54" s="7">
        <v>5100.0</v>
      </c>
      <c r="P54" s="7">
        <v>5311.0</v>
      </c>
    </row>
    <row r="55" ht="22.5" customHeight="1">
      <c r="I55" s="21" t="s">
        <v>166</v>
      </c>
      <c r="J55" s="21"/>
      <c r="K55" s="21"/>
      <c r="L55" s="21" t="s">
        <v>167</v>
      </c>
    </row>
    <row r="56" ht="22.5" customHeight="1">
      <c r="I56" s="21" t="s">
        <v>168</v>
      </c>
      <c r="J56" s="21"/>
      <c r="K56" s="21"/>
      <c r="L56" s="21" t="s">
        <v>169</v>
      </c>
    </row>
    <row r="57" ht="22.5" customHeight="1">
      <c r="I57" s="21" t="s">
        <v>170</v>
      </c>
      <c r="J57" s="21"/>
      <c r="K57" s="21"/>
      <c r="L57" s="22"/>
    </row>
    <row r="58" ht="22.5" customHeight="1">
      <c r="I58" s="21" t="s">
        <v>171</v>
      </c>
      <c r="J58" s="34"/>
      <c r="K58" s="34"/>
      <c r="L58" s="34" t="s">
        <v>172</v>
      </c>
    </row>
    <row r="59" ht="22.5" customHeight="1">
      <c r="I59" s="21" t="s">
        <v>143</v>
      </c>
      <c r="J59" s="34"/>
      <c r="K59" s="34"/>
      <c r="L59" s="34" t="s">
        <v>172</v>
      </c>
    </row>
    <row r="72">
      <c r="I72" s="9" t="s">
        <v>15</v>
      </c>
      <c r="J72" s="9" t="s">
        <v>10</v>
      </c>
      <c r="K72" s="10" t="s">
        <v>11</v>
      </c>
    </row>
    <row r="73">
      <c r="I73" s="3">
        <v>679500.0</v>
      </c>
      <c r="J73" s="3">
        <v>799748.0</v>
      </c>
      <c r="K73" s="12">
        <f>(J73-I73)/I73*100</f>
        <v>17.69654157</v>
      </c>
    </row>
    <row r="76" ht="22.5" customHeight="1">
      <c r="I76" s="32" t="s">
        <v>22</v>
      </c>
      <c r="J76" s="32" t="s">
        <v>23</v>
      </c>
      <c r="K76" s="32" t="s">
        <v>24</v>
      </c>
      <c r="L76" s="32" t="s">
        <v>125</v>
      </c>
      <c r="M76" s="33" t="s">
        <v>126</v>
      </c>
    </row>
    <row r="77" ht="22.5" customHeight="1">
      <c r="I77" s="41" t="s">
        <v>175</v>
      </c>
      <c r="J77" s="41">
        <v>547.0</v>
      </c>
      <c r="K77" s="41">
        <v>31398.0</v>
      </c>
      <c r="L77" s="41" t="s">
        <v>176</v>
      </c>
    </row>
    <row r="78" ht="22.5" customHeight="1">
      <c r="I78" s="41" t="s">
        <v>177</v>
      </c>
      <c r="J78" s="41">
        <v>681.0</v>
      </c>
      <c r="K78" s="41">
        <v>22398.0</v>
      </c>
      <c r="L78" s="41" t="s">
        <v>178</v>
      </c>
    </row>
    <row r="79" ht="22.5" customHeight="1">
      <c r="I79" s="41" t="s">
        <v>180</v>
      </c>
      <c r="J79" s="41">
        <v>6522.0</v>
      </c>
      <c r="K79" s="41">
        <v>412979.0</v>
      </c>
      <c r="L79" s="41" t="s">
        <v>182</v>
      </c>
      <c r="M79" s="36" t="s">
        <v>163</v>
      </c>
    </row>
    <row r="80" ht="22.5" customHeight="1">
      <c r="I80" s="41" t="s">
        <v>183</v>
      </c>
      <c r="J80" s="41">
        <v>437.0</v>
      </c>
      <c r="K80" s="41">
        <v>92995.0</v>
      </c>
      <c r="L80" s="41" t="s">
        <v>185</v>
      </c>
    </row>
    <row r="81" ht="22.5" customHeight="1">
      <c r="I81" s="41" t="s">
        <v>186</v>
      </c>
      <c r="J81" s="41">
        <v>1682.0</v>
      </c>
      <c r="K81" s="41">
        <v>193990.0</v>
      </c>
      <c r="L81" s="41" t="s">
        <v>189</v>
      </c>
      <c r="M81" s="36" t="s">
        <v>163</v>
      </c>
    </row>
    <row r="82">
      <c r="I82" s="7" t="s">
        <v>191</v>
      </c>
      <c r="J82" s="7">
        <v>451.0</v>
      </c>
      <c r="K82" s="7">
        <v>15999.0</v>
      </c>
      <c r="L82" s="7" t="s">
        <v>192</v>
      </c>
    </row>
  </sheetData>
  <mergeCells count="14">
    <mergeCell ref="O32:P32"/>
    <mergeCell ref="I34:M34"/>
    <mergeCell ref="O36:P36"/>
    <mergeCell ref="O40:P40"/>
    <mergeCell ref="O44:P44"/>
    <mergeCell ref="O48:P48"/>
    <mergeCell ref="O52:P52"/>
    <mergeCell ref="I1:M1"/>
    <mergeCell ref="S2:S7"/>
    <mergeCell ref="O9:P9"/>
    <mergeCell ref="O14:P14"/>
    <mergeCell ref="O18:P18"/>
    <mergeCell ref="O23:P23"/>
    <mergeCell ref="O28:P28"/>
  </mergeCell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2.63"/>
    <col customWidth="1" min="4" max="4" width="25.88"/>
    <col customWidth="1" min="9" max="9" width="34.25"/>
    <col customWidth="1" min="11" max="11" width="19.13"/>
    <col customWidth="1" min="12" max="12" width="37.13"/>
    <col customWidth="1" min="15" max="15" width="26.75"/>
    <col customWidth="1" min="16" max="16" width="13.0"/>
    <col customWidth="1" min="20" max="20" width="42.88"/>
  </cols>
  <sheetData>
    <row r="1">
      <c r="A1" s="1"/>
      <c r="B1" s="2" t="s">
        <v>0</v>
      </c>
      <c r="C1" s="2" t="s">
        <v>1</v>
      </c>
      <c r="D1" s="2" t="s">
        <v>2</v>
      </c>
      <c r="F1" s="3" t="s">
        <v>3</v>
      </c>
      <c r="G1" s="3" t="s">
        <v>4</v>
      </c>
      <c r="I1" s="4" t="s">
        <v>5</v>
      </c>
      <c r="J1" s="5"/>
      <c r="K1" s="5"/>
      <c r="L1" s="5"/>
      <c r="M1" s="6"/>
    </row>
    <row r="2">
      <c r="B2" s="7">
        <f>118491+B3</f>
        <v>414691</v>
      </c>
      <c r="C2" s="7">
        <f>668161+C3</f>
        <v>785228</v>
      </c>
      <c r="E2" s="8">
        <f>B2-B3</f>
        <v>118491</v>
      </c>
      <c r="I2" s="9" t="s">
        <v>7</v>
      </c>
      <c r="J2" s="9" t="s">
        <v>10</v>
      </c>
      <c r="K2" s="10" t="s">
        <v>11</v>
      </c>
      <c r="L2" s="11"/>
      <c r="M2" s="11"/>
      <c r="S2" s="3" t="s">
        <v>12</v>
      </c>
      <c r="T2" s="3" t="s">
        <v>13</v>
      </c>
    </row>
    <row r="3">
      <c r="A3" s="2" t="s">
        <v>14</v>
      </c>
      <c r="B3" s="3">
        <v>296200.0</v>
      </c>
      <c r="C3" s="2">
        <v>117067.0</v>
      </c>
      <c r="D3" s="2"/>
      <c r="E3" s="3">
        <v>53726.0</v>
      </c>
      <c r="G3" s="8">
        <f>-(B4+B6+B7+B8+B9+B12+C10+C8+C4)</f>
        <v>100000</v>
      </c>
      <c r="I3" s="11">
        <f>1348019+3872302</f>
        <v>5220321</v>
      </c>
      <c r="J3" s="11">
        <f>1765892+5119812</f>
        <v>6885704</v>
      </c>
      <c r="K3" s="12">
        <f>(J3-I3)/I3*100</f>
        <v>31.9019271</v>
      </c>
      <c r="L3" s="11"/>
      <c r="M3" s="11"/>
      <c r="T3" s="3" t="s">
        <v>16</v>
      </c>
    </row>
    <row r="4">
      <c r="A4" s="13" t="s">
        <v>17</v>
      </c>
      <c r="B4" s="13">
        <f>-20000-8000-2000</f>
        <v>-30000</v>
      </c>
      <c r="C4" s="13"/>
      <c r="D4" s="13" t="s">
        <v>19</v>
      </c>
      <c r="E4" s="8">
        <f t="shared" ref="E4:E16" si="1">-(B4)-C4</f>
        <v>30000</v>
      </c>
      <c r="L4" s="11"/>
      <c r="M4" s="11"/>
      <c r="T4" s="3" t="s">
        <v>20</v>
      </c>
    </row>
    <row r="5" ht="22.5" customHeight="1">
      <c r="A5" s="13" t="s">
        <v>21</v>
      </c>
      <c r="B5" s="13">
        <f>-80000</f>
        <v>-80000</v>
      </c>
      <c r="C5" s="13">
        <v>-73000.0</v>
      </c>
      <c r="D5" s="13"/>
      <c r="E5" s="8">
        <f t="shared" si="1"/>
        <v>153000</v>
      </c>
      <c r="I5" s="16" t="s">
        <v>22</v>
      </c>
      <c r="J5" s="16" t="s">
        <v>23</v>
      </c>
      <c r="K5" s="16" t="s">
        <v>24</v>
      </c>
      <c r="L5" s="17" t="s">
        <v>28</v>
      </c>
      <c r="M5" s="11"/>
      <c r="T5" s="3" t="s">
        <v>25</v>
      </c>
    </row>
    <row r="6" ht="22.5" customHeight="1">
      <c r="A6" s="13" t="s">
        <v>26</v>
      </c>
      <c r="B6" s="13">
        <f>-30000</f>
        <v>-30000</v>
      </c>
      <c r="C6" s="13"/>
      <c r="D6" s="7" t="s">
        <v>32</v>
      </c>
      <c r="E6" s="8">
        <f t="shared" si="1"/>
        <v>30000</v>
      </c>
      <c r="F6" s="8">
        <f>5000+3000</f>
        <v>8000</v>
      </c>
      <c r="I6" s="21" t="s">
        <v>39</v>
      </c>
      <c r="J6" s="22"/>
      <c r="K6" s="22"/>
      <c r="L6" s="21" t="s">
        <v>44</v>
      </c>
      <c r="M6" s="11"/>
      <c r="T6" s="3" t="s">
        <v>29</v>
      </c>
    </row>
    <row r="7" ht="22.5" customHeight="1">
      <c r="A7" s="13" t="s">
        <v>30</v>
      </c>
      <c r="B7" s="13">
        <v>-8000.0</v>
      </c>
      <c r="C7" s="13"/>
      <c r="D7" s="13"/>
      <c r="E7" s="8">
        <f t="shared" si="1"/>
        <v>8000</v>
      </c>
      <c r="I7" s="21" t="s">
        <v>46</v>
      </c>
      <c r="J7" s="21"/>
      <c r="K7" s="21"/>
      <c r="L7" s="21" t="s">
        <v>44</v>
      </c>
      <c r="M7" s="11"/>
      <c r="T7" s="3" t="s">
        <v>34</v>
      </c>
      <c r="U7" s="3" t="s">
        <v>35</v>
      </c>
    </row>
    <row r="8" ht="22.5" customHeight="1">
      <c r="A8" s="13" t="s">
        <v>36</v>
      </c>
      <c r="B8" s="13"/>
      <c r="C8" s="13"/>
      <c r="D8" s="13"/>
      <c r="E8" s="8">
        <f t="shared" si="1"/>
        <v>0</v>
      </c>
      <c r="I8" s="25" t="s">
        <v>31</v>
      </c>
      <c r="J8" s="21"/>
      <c r="K8" s="21"/>
      <c r="L8" s="21" t="s">
        <v>59</v>
      </c>
      <c r="M8" s="20"/>
      <c r="T8" s="3" t="s">
        <v>40</v>
      </c>
    </row>
    <row r="9" ht="22.5" customHeight="1">
      <c r="A9" s="13" t="s">
        <v>41</v>
      </c>
      <c r="B9" s="13">
        <v>-7000.0</v>
      </c>
      <c r="C9" s="13">
        <v>-1000.0</v>
      </c>
      <c r="D9" s="13"/>
      <c r="E9" s="8">
        <f t="shared" si="1"/>
        <v>8000</v>
      </c>
      <c r="I9" s="21" t="s">
        <v>38</v>
      </c>
      <c r="J9" s="21"/>
      <c r="K9" s="21"/>
      <c r="L9" s="21" t="s">
        <v>69</v>
      </c>
      <c r="O9" s="23" t="s">
        <v>43</v>
      </c>
      <c r="P9" s="6"/>
    </row>
    <row r="10" ht="22.5" customHeight="1">
      <c r="A10" s="13" t="s">
        <v>45</v>
      </c>
      <c r="B10" s="13">
        <v>0.0</v>
      </c>
      <c r="C10" s="13">
        <v>-17000.0</v>
      </c>
      <c r="D10" s="13"/>
      <c r="E10" s="8">
        <f t="shared" si="1"/>
        <v>17000</v>
      </c>
      <c r="I10" s="21" t="s">
        <v>42</v>
      </c>
      <c r="J10" s="21"/>
      <c r="K10" s="21"/>
      <c r="L10" s="21" t="s">
        <v>44</v>
      </c>
      <c r="O10" s="7" t="s">
        <v>49</v>
      </c>
      <c r="P10" s="7" t="s">
        <v>50</v>
      </c>
    </row>
    <row r="11" ht="22.5" customHeight="1">
      <c r="A11" s="13" t="s">
        <v>51</v>
      </c>
      <c r="B11" s="13">
        <v>-8000.0</v>
      </c>
      <c r="C11" s="24">
        <v>0.0</v>
      </c>
      <c r="D11" s="13"/>
      <c r="E11" s="8">
        <f t="shared" si="1"/>
        <v>8000</v>
      </c>
      <c r="I11" s="21" t="s">
        <v>76</v>
      </c>
      <c r="J11" s="22"/>
      <c r="K11" s="22"/>
      <c r="L11" s="21" t="s">
        <v>79</v>
      </c>
      <c r="O11" s="10">
        <v>0.0</v>
      </c>
      <c r="P11" s="7">
        <v>0.0</v>
      </c>
    </row>
    <row r="12" ht="22.5" customHeight="1">
      <c r="A12" s="13" t="s">
        <v>53</v>
      </c>
      <c r="B12" s="13">
        <v>-8000.0</v>
      </c>
      <c r="C12" s="13">
        <v>0.0</v>
      </c>
      <c r="D12" s="13"/>
      <c r="E12" s="8">
        <f t="shared" si="1"/>
        <v>8000</v>
      </c>
      <c r="I12" s="21" t="s">
        <v>47</v>
      </c>
      <c r="J12" s="21"/>
      <c r="K12" s="21"/>
      <c r="L12" s="21" t="s">
        <v>48</v>
      </c>
    </row>
    <row r="13" ht="22.5" customHeight="1">
      <c r="A13" s="7" t="s">
        <v>56</v>
      </c>
      <c r="B13" s="13">
        <v>-318.0</v>
      </c>
      <c r="C13" s="26"/>
      <c r="D13" s="13"/>
      <c r="E13" s="8">
        <f t="shared" si="1"/>
        <v>318</v>
      </c>
      <c r="I13" s="21" t="s">
        <v>87</v>
      </c>
      <c r="J13" s="22"/>
      <c r="K13" s="22"/>
      <c r="L13" s="21" t="s">
        <v>92</v>
      </c>
      <c r="T13" s="3" t="s">
        <v>60</v>
      </c>
    </row>
    <row r="14" ht="22.5" customHeight="1">
      <c r="A14" s="13" t="s">
        <v>61</v>
      </c>
      <c r="B14" s="13">
        <v>-500.0</v>
      </c>
      <c r="C14" s="13"/>
      <c r="D14" s="7"/>
      <c r="E14" s="8">
        <f t="shared" si="1"/>
        <v>500</v>
      </c>
      <c r="I14" s="21" t="s">
        <v>94</v>
      </c>
      <c r="J14" s="22"/>
      <c r="K14" s="22"/>
      <c r="L14" s="21" t="s">
        <v>63</v>
      </c>
      <c r="O14" s="23" t="s">
        <v>64</v>
      </c>
      <c r="P14" s="6"/>
      <c r="Q14" s="3" t="s">
        <v>65</v>
      </c>
      <c r="T14" s="3" t="s">
        <v>66</v>
      </c>
    </row>
    <row r="15" ht="22.5" customHeight="1">
      <c r="A15" s="7" t="s">
        <v>67</v>
      </c>
      <c r="B15" s="13">
        <v>-5000.0</v>
      </c>
      <c r="C15" s="26"/>
      <c r="D15" s="7" t="s">
        <v>18</v>
      </c>
      <c r="E15" s="8">
        <f t="shared" si="1"/>
        <v>5000</v>
      </c>
      <c r="F15" s="3">
        <v>100000.0</v>
      </c>
      <c r="I15" s="21" t="s">
        <v>52</v>
      </c>
      <c r="J15" s="21"/>
      <c r="K15" s="21"/>
      <c r="L15" s="21" t="s">
        <v>48</v>
      </c>
      <c r="O15" s="7" t="s">
        <v>71</v>
      </c>
      <c r="P15" s="7" t="s">
        <v>50</v>
      </c>
      <c r="Q15" s="3" t="s">
        <v>113</v>
      </c>
    </row>
    <row r="16" ht="22.5" customHeight="1">
      <c r="A16" s="7" t="s">
        <v>72</v>
      </c>
      <c r="B16" s="13">
        <v>-60000.0</v>
      </c>
      <c r="C16" s="26"/>
      <c r="D16" s="26"/>
      <c r="E16" s="8">
        <f t="shared" si="1"/>
        <v>60000</v>
      </c>
      <c r="I16" s="21" t="s">
        <v>115</v>
      </c>
      <c r="J16" s="22"/>
      <c r="K16" s="22"/>
      <c r="L16" s="21" t="s">
        <v>118</v>
      </c>
      <c r="O16" s="7">
        <f>343176+35000</f>
        <v>378176</v>
      </c>
      <c r="P16" s="7">
        <v>465974.0</v>
      </c>
      <c r="Q16" s="8">
        <f>O16-P16</f>
        <v>-87798</v>
      </c>
      <c r="R16" s="3" t="s">
        <v>74</v>
      </c>
      <c r="S16" s="3" t="s">
        <v>75</v>
      </c>
      <c r="T16" s="3">
        <f>460000+230000+P16</f>
        <v>1155974</v>
      </c>
    </row>
    <row r="17" ht="22.5" customHeight="1">
      <c r="A17" s="7" t="s">
        <v>78</v>
      </c>
      <c r="B17" s="7">
        <v>-20000.0</v>
      </c>
      <c r="C17" s="26"/>
      <c r="D17" s="26"/>
      <c r="I17" s="21" t="s">
        <v>54</v>
      </c>
      <c r="J17" s="21"/>
      <c r="K17" s="21"/>
      <c r="L17" s="21" t="s">
        <v>122</v>
      </c>
      <c r="T17" s="8">
        <f>O16-T16</f>
        <v>-777798</v>
      </c>
    </row>
    <row r="18" ht="22.5" customHeight="1">
      <c r="A18" s="13" t="s">
        <v>124</v>
      </c>
      <c r="B18" s="7"/>
      <c r="C18" s="26"/>
      <c r="D18" s="7">
        <v>-10000.0</v>
      </c>
      <c r="I18" s="21" t="s">
        <v>57</v>
      </c>
      <c r="J18" s="21"/>
      <c r="K18" s="21"/>
      <c r="L18" s="21" t="s">
        <v>58</v>
      </c>
      <c r="O18" s="23" t="s">
        <v>81</v>
      </c>
      <c r="P18" s="6"/>
    </row>
    <row r="19" ht="22.5" customHeight="1">
      <c r="A19" s="7"/>
      <c r="B19" s="7"/>
      <c r="C19" s="26"/>
      <c r="D19" s="26"/>
      <c r="I19" s="25" t="s">
        <v>68</v>
      </c>
      <c r="J19" s="21"/>
      <c r="K19" s="21"/>
      <c r="L19" s="21" t="s">
        <v>70</v>
      </c>
      <c r="O19" s="7" t="s">
        <v>71</v>
      </c>
      <c r="P19" s="7" t="s">
        <v>50</v>
      </c>
    </row>
    <row r="20" ht="22.5" customHeight="1">
      <c r="A20" s="7"/>
      <c r="B20" s="7"/>
      <c r="C20" s="7"/>
      <c r="D20" s="26"/>
      <c r="I20" s="34" t="s">
        <v>62</v>
      </c>
      <c r="J20" s="21"/>
      <c r="K20" s="21"/>
      <c r="L20" s="21" t="s">
        <v>129</v>
      </c>
      <c r="O20" s="3">
        <v>900.0</v>
      </c>
      <c r="P20" s="3">
        <v>900.0</v>
      </c>
    </row>
    <row r="21" ht="22.5" customHeight="1">
      <c r="A21" s="13" t="s">
        <v>86</v>
      </c>
      <c r="B21" s="26">
        <f t="shared" ref="B21:C21" si="2">SUM(B3:B20)</f>
        <v>39382</v>
      </c>
      <c r="C21" s="26">
        <f t="shared" si="2"/>
        <v>26067</v>
      </c>
      <c r="D21" s="26"/>
      <c r="I21" s="21" t="s">
        <v>73</v>
      </c>
      <c r="J21" s="21"/>
      <c r="K21" s="21"/>
      <c r="L21" s="21" t="s">
        <v>131</v>
      </c>
      <c r="O21" s="20"/>
      <c r="P21" s="20"/>
      <c r="Q21" s="20"/>
      <c r="R21" s="20"/>
    </row>
    <row r="22" ht="22.5" customHeight="1">
      <c r="I22" s="21" t="s">
        <v>77</v>
      </c>
      <c r="J22" s="21"/>
      <c r="K22" s="21"/>
      <c r="L22" s="21" t="s">
        <v>131</v>
      </c>
      <c r="O22" s="20"/>
      <c r="P22" s="20"/>
      <c r="Q22" s="20"/>
      <c r="R22" s="20"/>
    </row>
    <row r="23" ht="22.5" customHeight="1">
      <c r="I23" s="25" t="s">
        <v>134</v>
      </c>
      <c r="J23" s="21"/>
      <c r="K23" s="21"/>
      <c r="L23" s="21" t="s">
        <v>136</v>
      </c>
      <c r="O23" s="23" t="s">
        <v>91</v>
      </c>
      <c r="P23" s="6"/>
      <c r="Q23" s="20"/>
      <c r="R23" s="20"/>
    </row>
    <row r="24" ht="22.5" customHeight="1">
      <c r="I24" s="25" t="s">
        <v>137</v>
      </c>
      <c r="J24" s="21"/>
      <c r="K24" s="21"/>
      <c r="L24" s="21" t="s">
        <v>131</v>
      </c>
      <c r="O24" s="7" t="s">
        <v>71</v>
      </c>
      <c r="P24" s="7" t="s">
        <v>50</v>
      </c>
      <c r="Q24" s="20" t="s">
        <v>142</v>
      </c>
      <c r="R24" s="20"/>
    </row>
    <row r="25" ht="22.5" customHeight="1">
      <c r="D25" s="3" t="s">
        <v>98</v>
      </c>
      <c r="I25" s="21" t="s">
        <v>112</v>
      </c>
      <c r="J25" s="22"/>
      <c r="K25" s="22"/>
      <c r="L25" s="21" t="s">
        <v>44</v>
      </c>
      <c r="O25" s="7">
        <f>331714+16000</f>
        <v>347714</v>
      </c>
      <c r="P25" s="7">
        <v>147822.0</v>
      </c>
      <c r="Q25" s="20" t="s">
        <v>99</v>
      </c>
      <c r="R25" s="20" t="s">
        <v>100</v>
      </c>
      <c r="S25" s="3" t="s">
        <v>101</v>
      </c>
      <c r="T25" s="3" t="s">
        <v>102</v>
      </c>
    </row>
    <row r="26" ht="22.5" customHeight="1">
      <c r="D26" s="3" t="s">
        <v>107</v>
      </c>
      <c r="E26" s="3">
        <v>15000.0</v>
      </c>
      <c r="I26" s="25" t="s">
        <v>85</v>
      </c>
      <c r="J26" s="21"/>
      <c r="K26" s="21"/>
      <c r="L26" s="21" t="s">
        <v>131</v>
      </c>
      <c r="P26" s="20"/>
      <c r="Q26" s="20"/>
      <c r="R26" s="20"/>
    </row>
    <row r="27" ht="22.5" customHeight="1">
      <c r="D27" s="3" t="s">
        <v>109</v>
      </c>
      <c r="E27" s="3">
        <v>5000.0</v>
      </c>
      <c r="I27" s="25" t="s">
        <v>88</v>
      </c>
      <c r="J27" s="21"/>
      <c r="K27" s="21"/>
      <c r="L27" s="21" t="s">
        <v>131</v>
      </c>
      <c r="P27" s="20"/>
      <c r="Q27" s="20"/>
      <c r="R27" s="20"/>
    </row>
    <row r="28" ht="22.5" customHeight="1">
      <c r="D28" s="3" t="s">
        <v>111</v>
      </c>
      <c r="E28" s="3">
        <v>10000.0</v>
      </c>
      <c r="I28" s="21" t="s">
        <v>89</v>
      </c>
      <c r="J28" s="21"/>
      <c r="K28" s="21"/>
      <c r="L28" s="21" t="s">
        <v>33</v>
      </c>
      <c r="O28" s="23" t="s">
        <v>106</v>
      </c>
      <c r="P28" s="6"/>
      <c r="Q28" s="20" t="s">
        <v>108</v>
      </c>
      <c r="R28" s="20"/>
    </row>
    <row r="29" ht="22.5" customHeight="1">
      <c r="I29" s="25" t="s">
        <v>90</v>
      </c>
      <c r="J29" s="21"/>
      <c r="K29" s="21"/>
      <c r="L29" s="21" t="s">
        <v>131</v>
      </c>
      <c r="O29" s="7" t="s">
        <v>71</v>
      </c>
      <c r="P29" s="7" t="s">
        <v>50</v>
      </c>
      <c r="Q29" s="20" t="s">
        <v>147</v>
      </c>
      <c r="R29" s="20" t="s">
        <v>110</v>
      </c>
    </row>
    <row r="30" ht="22.5" customHeight="1">
      <c r="I30" s="21" t="s">
        <v>93</v>
      </c>
      <c r="J30" s="21"/>
      <c r="K30" s="37"/>
      <c r="L30" s="21" t="s">
        <v>150</v>
      </c>
      <c r="O30" s="7">
        <f>118491+296200</f>
        <v>414691</v>
      </c>
      <c r="P30" s="7">
        <v>163121.0</v>
      </c>
      <c r="Q30" s="20">
        <f>O30-P30</f>
        <v>251570</v>
      </c>
      <c r="R30" s="20" t="s">
        <v>116</v>
      </c>
      <c r="S30" s="3" t="s">
        <v>153</v>
      </c>
    </row>
    <row r="31" ht="22.5" customHeight="1">
      <c r="I31" s="38" t="s">
        <v>97</v>
      </c>
      <c r="J31" s="21"/>
      <c r="K31" s="37"/>
      <c r="L31" s="21" t="s">
        <v>131</v>
      </c>
      <c r="P31" s="20"/>
      <c r="Q31" s="20"/>
      <c r="R31" s="20"/>
    </row>
    <row r="32" ht="22.5" customHeight="1">
      <c r="I32" s="21" t="s">
        <v>103</v>
      </c>
      <c r="J32" s="21"/>
      <c r="K32" s="21"/>
      <c r="L32" s="21" t="s">
        <v>131</v>
      </c>
      <c r="O32" s="23" t="s">
        <v>117</v>
      </c>
      <c r="P32" s="6"/>
      <c r="Q32" s="20"/>
      <c r="R32" s="20"/>
    </row>
    <row r="33" ht="22.5" customHeight="1">
      <c r="I33" s="25" t="s">
        <v>104</v>
      </c>
      <c r="J33" s="22"/>
      <c r="K33" s="37"/>
      <c r="L33" s="21" t="s">
        <v>131</v>
      </c>
      <c r="O33" s="7" t="s">
        <v>71</v>
      </c>
      <c r="P33" s="7" t="s">
        <v>50</v>
      </c>
      <c r="Q33" s="20"/>
      <c r="R33" s="20"/>
    </row>
    <row r="34" ht="22.5" customHeight="1">
      <c r="O34" s="7">
        <f>11040+8000</f>
        <v>19040</v>
      </c>
      <c r="P34" s="7">
        <v>20299.0</v>
      </c>
      <c r="Q34" s="3" t="s">
        <v>121</v>
      </c>
      <c r="R34" s="20"/>
    </row>
    <row r="35" ht="22.5" customHeight="1"/>
    <row r="36" ht="22.5" customHeight="1">
      <c r="O36" s="23" t="s">
        <v>123</v>
      </c>
      <c r="P36" s="6"/>
    </row>
    <row r="37" ht="22.5" customHeight="1">
      <c r="O37" s="7" t="s">
        <v>71</v>
      </c>
      <c r="P37" s="7" t="s">
        <v>50</v>
      </c>
    </row>
    <row r="38">
      <c r="O38" s="7">
        <v>20000.0</v>
      </c>
      <c r="P38" s="7">
        <v>8389.0</v>
      </c>
      <c r="Q38" s="3" t="s">
        <v>164</v>
      </c>
    </row>
    <row r="40">
      <c r="O40" s="23" t="s">
        <v>130</v>
      </c>
      <c r="P40" s="6"/>
    </row>
    <row r="41">
      <c r="O41" s="7" t="s">
        <v>71</v>
      </c>
      <c r="P41" s="7" t="s">
        <v>50</v>
      </c>
      <c r="Q41" s="3" t="s">
        <v>135</v>
      </c>
    </row>
    <row r="42">
      <c r="O42" s="7">
        <v>71576.0</v>
      </c>
      <c r="P42" s="7">
        <v>82074.0</v>
      </c>
      <c r="Q42" s="3" t="s">
        <v>138</v>
      </c>
      <c r="R42" s="3" t="s">
        <v>165</v>
      </c>
    </row>
    <row r="44">
      <c r="O44" s="23" t="s">
        <v>145</v>
      </c>
      <c r="P44" s="6"/>
    </row>
    <row r="45">
      <c r="O45" s="7" t="s">
        <v>71</v>
      </c>
      <c r="P45" s="7" t="s">
        <v>50</v>
      </c>
    </row>
    <row r="46">
      <c r="O46" s="7">
        <f>668161+117067</f>
        <v>785228</v>
      </c>
      <c r="P46" s="7">
        <f>790550-109259</f>
        <v>681291</v>
      </c>
      <c r="Q46" s="3" t="s">
        <v>148</v>
      </c>
      <c r="R46" s="3" t="s">
        <v>149</v>
      </c>
    </row>
    <row r="48">
      <c r="I48" s="4" t="s">
        <v>119</v>
      </c>
      <c r="J48" s="5"/>
      <c r="K48" s="5"/>
      <c r="L48" s="5"/>
      <c r="M48" s="6"/>
      <c r="O48" s="23" t="s">
        <v>152</v>
      </c>
      <c r="P48" s="6"/>
    </row>
    <row r="49">
      <c r="I49" s="9" t="s">
        <v>7</v>
      </c>
      <c r="J49" s="9" t="s">
        <v>10</v>
      </c>
      <c r="K49" s="10" t="s">
        <v>11</v>
      </c>
      <c r="L49" s="11"/>
      <c r="M49" s="11"/>
      <c r="O49" s="7" t="s">
        <v>71</v>
      </c>
      <c r="P49" s="7" t="s">
        <v>50</v>
      </c>
    </row>
    <row r="50">
      <c r="I50" s="3">
        <f>884286+66296</f>
        <v>950582</v>
      </c>
      <c r="J50" s="3">
        <f>902724+(66296-2896)</f>
        <v>966124</v>
      </c>
      <c r="K50" s="12">
        <f>(J50-I50)/I50*100</f>
        <v>1.634998348</v>
      </c>
      <c r="L50" s="11"/>
      <c r="M50" s="11"/>
      <c r="O50" s="7">
        <v>455.0</v>
      </c>
      <c r="P50" s="7">
        <v>16107.0</v>
      </c>
    </row>
    <row r="51">
      <c r="I51" s="11"/>
      <c r="J51" s="11"/>
      <c r="K51" s="11"/>
      <c r="L51" s="11"/>
      <c r="M51" s="11"/>
    </row>
    <row r="52" ht="22.5" customHeight="1">
      <c r="I52" s="16" t="s">
        <v>22</v>
      </c>
      <c r="J52" s="16" t="s">
        <v>23</v>
      </c>
      <c r="K52" s="16" t="s">
        <v>24</v>
      </c>
      <c r="L52" s="16" t="s">
        <v>125</v>
      </c>
      <c r="M52" s="33" t="s">
        <v>126</v>
      </c>
      <c r="O52" s="23" t="s">
        <v>160</v>
      </c>
      <c r="P52" s="6"/>
    </row>
    <row r="53" ht="22.5" customHeight="1">
      <c r="H53" s="40" t="s">
        <v>173</v>
      </c>
      <c r="I53" s="21" t="s">
        <v>47</v>
      </c>
      <c r="J53" s="21">
        <v>9.9</v>
      </c>
      <c r="K53" s="21">
        <v>4999.0</v>
      </c>
      <c r="L53" s="21" t="s">
        <v>174</v>
      </c>
      <c r="M53" s="35"/>
      <c r="O53" s="7" t="s">
        <v>71</v>
      </c>
      <c r="P53" s="7" t="s">
        <v>50</v>
      </c>
    </row>
    <row r="54" ht="22.5" customHeight="1">
      <c r="I54" s="21" t="s">
        <v>52</v>
      </c>
      <c r="J54" s="21">
        <v>140.0</v>
      </c>
      <c r="K54" s="21">
        <v>4999.0</v>
      </c>
      <c r="L54" s="21" t="s">
        <v>174</v>
      </c>
      <c r="M54" s="35"/>
      <c r="O54" s="7">
        <v>5311.0</v>
      </c>
      <c r="P54" s="7">
        <v>4317.0</v>
      </c>
    </row>
    <row r="55" ht="22.5" customHeight="1">
      <c r="I55" s="25" t="s">
        <v>88</v>
      </c>
      <c r="J55" s="21">
        <v>1310.3</v>
      </c>
      <c r="K55" s="21">
        <v>22998.0</v>
      </c>
      <c r="L55" s="21" t="s">
        <v>179</v>
      </c>
      <c r="M55" s="36"/>
      <c r="R55" s="26"/>
      <c r="S55" s="7" t="s">
        <v>181</v>
      </c>
    </row>
    <row r="56" ht="22.5" customHeight="1">
      <c r="I56" s="25" t="s">
        <v>90</v>
      </c>
      <c r="J56" s="21">
        <v>188.4</v>
      </c>
      <c r="K56" s="21">
        <v>14499.0</v>
      </c>
      <c r="L56" s="21" t="s">
        <v>179</v>
      </c>
      <c r="R56" s="7" t="s">
        <v>184</v>
      </c>
      <c r="S56" s="7">
        <v>25821.98</v>
      </c>
    </row>
    <row r="57" ht="22.5" customHeight="1">
      <c r="I57" s="21" t="s">
        <v>141</v>
      </c>
      <c r="J57" s="21">
        <v>398.9</v>
      </c>
      <c r="K57" s="21">
        <v>5999.0</v>
      </c>
      <c r="L57" s="21" t="s">
        <v>69</v>
      </c>
      <c r="R57" s="7" t="s">
        <v>187</v>
      </c>
      <c r="S57" s="7">
        <v>20000.0</v>
      </c>
    </row>
    <row r="58" ht="22.5" customHeight="1">
      <c r="I58" s="21" t="s">
        <v>188</v>
      </c>
      <c r="J58" s="21">
        <v>4.0</v>
      </c>
      <c r="K58" s="21">
        <v>16208.0</v>
      </c>
      <c r="L58" s="21" t="s">
        <v>179</v>
      </c>
      <c r="R58" s="7" t="s">
        <v>190</v>
      </c>
      <c r="S58" s="7">
        <v>74652.0</v>
      </c>
    </row>
    <row r="59" ht="22.5" customHeight="1">
      <c r="I59" s="21" t="s">
        <v>146</v>
      </c>
      <c r="J59" s="21">
        <v>15.0</v>
      </c>
      <c r="K59" s="21">
        <v>202298.0</v>
      </c>
      <c r="L59" s="21" t="s">
        <v>44</v>
      </c>
      <c r="S59" s="8">
        <f>S58-S56-S57</f>
        <v>28830.02</v>
      </c>
    </row>
    <row r="60" ht="22.5" customHeight="1">
      <c r="I60" s="25" t="s">
        <v>88</v>
      </c>
      <c r="J60" s="21"/>
      <c r="K60" s="21"/>
      <c r="L60" s="21" t="s">
        <v>179</v>
      </c>
    </row>
    <row r="61" ht="22.5" customHeight="1">
      <c r="I61" s="21" t="s">
        <v>57</v>
      </c>
      <c r="J61" s="21"/>
      <c r="K61" s="21"/>
      <c r="L61" s="21" t="s">
        <v>193</v>
      </c>
    </row>
    <row r="62" ht="22.5" customHeight="1">
      <c r="I62" s="25" t="s">
        <v>90</v>
      </c>
      <c r="J62" s="21"/>
      <c r="K62" s="21"/>
      <c r="L62" s="21" t="s">
        <v>179</v>
      </c>
    </row>
    <row r="63" ht="22.5" customHeight="1">
      <c r="H63" s="40" t="s">
        <v>194</v>
      </c>
      <c r="I63" s="21" t="s">
        <v>154</v>
      </c>
      <c r="J63" s="21"/>
      <c r="K63" s="21">
        <v>15799.0</v>
      </c>
      <c r="L63" s="21" t="s">
        <v>155</v>
      </c>
    </row>
    <row r="64" ht="22.5" customHeight="1">
      <c r="I64" s="21" t="s">
        <v>39</v>
      </c>
      <c r="J64" s="22"/>
      <c r="K64" s="21">
        <v>29998.0</v>
      </c>
      <c r="L64" s="21" t="s">
        <v>44</v>
      </c>
    </row>
    <row r="65" ht="22.5" customHeight="1">
      <c r="I65" s="21" t="s">
        <v>46</v>
      </c>
      <c r="J65" s="22"/>
      <c r="K65" s="21">
        <v>36098.0</v>
      </c>
      <c r="L65" s="21" t="s">
        <v>44</v>
      </c>
    </row>
    <row r="66" ht="22.5" customHeight="1">
      <c r="I66" s="21" t="s">
        <v>166</v>
      </c>
      <c r="J66" s="21"/>
      <c r="K66" s="21">
        <v>24320.0</v>
      </c>
      <c r="L66" s="21" t="s">
        <v>167</v>
      </c>
    </row>
    <row r="67" ht="22.5" customHeight="1">
      <c r="I67" s="21" t="s">
        <v>42</v>
      </c>
      <c r="J67" s="21"/>
      <c r="K67" s="21">
        <v>61096.0</v>
      </c>
      <c r="L67" s="21" t="s">
        <v>44</v>
      </c>
      <c r="M67" s="36" t="s">
        <v>163</v>
      </c>
    </row>
    <row r="68" ht="22.5" customHeight="1">
      <c r="I68" s="21" t="s">
        <v>76</v>
      </c>
      <c r="J68" s="22"/>
      <c r="K68" s="21">
        <v>160991.0</v>
      </c>
      <c r="L68" s="21" t="s">
        <v>44</v>
      </c>
    </row>
    <row r="69" ht="22.5" customHeight="1">
      <c r="I69" s="21" t="s">
        <v>87</v>
      </c>
      <c r="J69" s="21"/>
      <c r="K69" s="21">
        <v>64996.0</v>
      </c>
      <c r="L69" s="21" t="s">
        <v>158</v>
      </c>
    </row>
    <row r="70" ht="22.5" customHeight="1">
      <c r="I70" s="21" t="s">
        <v>195</v>
      </c>
      <c r="J70" s="34"/>
      <c r="K70" s="34">
        <v>14999.0</v>
      </c>
      <c r="L70" s="34" t="s">
        <v>196</v>
      </c>
    </row>
    <row r="71" ht="22.5" customHeight="1">
      <c r="I71" s="21" t="s">
        <v>94</v>
      </c>
      <c r="J71" s="22"/>
      <c r="K71" s="21">
        <v>30698.0</v>
      </c>
      <c r="L71" s="21" t="s">
        <v>169</v>
      </c>
    </row>
    <row r="72" ht="22.5" customHeight="1">
      <c r="I72" s="21" t="s">
        <v>57</v>
      </c>
      <c r="J72" s="21"/>
      <c r="K72" s="21">
        <v>70996.0</v>
      </c>
      <c r="L72" s="21" t="s">
        <v>151</v>
      </c>
    </row>
    <row r="73" ht="22.5" customHeight="1">
      <c r="I73" s="21" t="s">
        <v>170</v>
      </c>
      <c r="J73" s="21"/>
      <c r="K73" s="21">
        <v>4999.0</v>
      </c>
      <c r="L73" s="21" t="s">
        <v>69</v>
      </c>
    </row>
    <row r="74" ht="22.5" customHeight="1">
      <c r="I74" s="25" t="s">
        <v>88</v>
      </c>
      <c r="J74" s="22"/>
      <c r="K74" s="21">
        <v>96995.0</v>
      </c>
      <c r="L74" s="21" t="s">
        <v>44</v>
      </c>
      <c r="M74" s="42"/>
    </row>
    <row r="75" ht="22.5" customHeight="1">
      <c r="I75" s="25" t="s">
        <v>90</v>
      </c>
      <c r="J75" s="22"/>
      <c r="K75" s="21">
        <v>69996.0</v>
      </c>
      <c r="L75" s="21" t="s">
        <v>179</v>
      </c>
      <c r="M75" s="42"/>
    </row>
    <row r="76" ht="22.5" customHeight="1">
      <c r="I76" s="21"/>
      <c r="J76" s="34"/>
      <c r="K76" s="34"/>
      <c r="L76" s="34"/>
      <c r="M76" s="42"/>
    </row>
    <row r="83">
      <c r="I83" s="9" t="s">
        <v>7</v>
      </c>
      <c r="J83" s="9" t="s">
        <v>10</v>
      </c>
      <c r="K83" s="10" t="s">
        <v>11</v>
      </c>
    </row>
    <row r="84">
      <c r="I84" s="3">
        <v>188390.0</v>
      </c>
      <c r="J84" s="3">
        <v>187195.0</v>
      </c>
      <c r="K84" s="12">
        <f>(J84-I84)/I84*100</f>
        <v>-0.6343224163</v>
      </c>
    </row>
    <row r="87">
      <c r="I87" s="43" t="s">
        <v>22</v>
      </c>
      <c r="J87" s="43" t="s">
        <v>23</v>
      </c>
      <c r="K87" s="43" t="s">
        <v>24</v>
      </c>
      <c r="L87" s="43" t="s">
        <v>125</v>
      </c>
    </row>
    <row r="88">
      <c r="I88" s="27" t="s">
        <v>175</v>
      </c>
      <c r="J88" s="27"/>
      <c r="K88" s="27">
        <v>31398.0</v>
      </c>
      <c r="L88" s="27" t="s">
        <v>176</v>
      </c>
    </row>
    <row r="89">
      <c r="I89" s="27" t="s">
        <v>183</v>
      </c>
      <c r="J89" s="27"/>
      <c r="K89" s="27">
        <v>140993.0</v>
      </c>
      <c r="L89" s="27" t="s">
        <v>185</v>
      </c>
    </row>
    <row r="90">
      <c r="I90" s="7" t="s">
        <v>191</v>
      </c>
      <c r="J90" s="7"/>
      <c r="K90" s="7">
        <v>15999.0</v>
      </c>
      <c r="L90" s="7" t="s">
        <v>192</v>
      </c>
    </row>
  </sheetData>
  <mergeCells count="14">
    <mergeCell ref="O32:P32"/>
    <mergeCell ref="O36:P36"/>
    <mergeCell ref="O40:P40"/>
    <mergeCell ref="O44:P44"/>
    <mergeCell ref="I48:M48"/>
    <mergeCell ref="O48:P48"/>
    <mergeCell ref="O52:P52"/>
    <mergeCell ref="I1:M1"/>
    <mergeCell ref="S2:S7"/>
    <mergeCell ref="O9:P9"/>
    <mergeCell ref="O14:P14"/>
    <mergeCell ref="O18:P18"/>
    <mergeCell ref="O23:P23"/>
    <mergeCell ref="O28:P28"/>
  </mergeCell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6.13"/>
    <col customWidth="1" min="4" max="4" width="12.63"/>
    <col customWidth="1" min="5" max="5" width="25.88"/>
    <col customWidth="1" min="10" max="10" width="34.25"/>
    <col customWidth="1" min="12" max="12" width="19.13"/>
    <col customWidth="1" min="13" max="13" width="37.13"/>
    <col customWidth="1" min="16" max="16" width="26.75"/>
    <col customWidth="1" min="17" max="17" width="13.0"/>
    <col customWidth="1" min="21" max="21" width="42.88"/>
  </cols>
  <sheetData>
    <row r="1">
      <c r="A1" s="1"/>
      <c r="B1" s="2" t="s">
        <v>0</v>
      </c>
      <c r="C1" s="2" t="s">
        <v>197</v>
      </c>
      <c r="D1" s="2" t="s">
        <v>1</v>
      </c>
      <c r="E1" s="2" t="s">
        <v>2</v>
      </c>
      <c r="G1" s="3" t="s">
        <v>3</v>
      </c>
      <c r="H1" s="3" t="s">
        <v>4</v>
      </c>
      <c r="J1" s="4" t="s">
        <v>5</v>
      </c>
      <c r="K1" s="5"/>
      <c r="L1" s="5"/>
      <c r="M1" s="5"/>
      <c r="N1" s="6"/>
    </row>
    <row r="2">
      <c r="A2" s="1"/>
      <c r="B2" s="13">
        <f>163121+B3</f>
        <v>406824</v>
      </c>
      <c r="C2" s="13"/>
      <c r="D2" s="13">
        <f>681291+D3-50000-55000</f>
        <v>685550</v>
      </c>
      <c r="E2" s="1"/>
      <c r="F2" s="8">
        <f>B2-B3</f>
        <v>163121</v>
      </c>
      <c r="J2" s="9" t="s">
        <v>198</v>
      </c>
      <c r="K2" s="9" t="s">
        <v>10</v>
      </c>
      <c r="L2" s="10" t="s">
        <v>11</v>
      </c>
      <c r="M2" s="11"/>
      <c r="N2" s="11"/>
      <c r="T2" s="3" t="s">
        <v>12</v>
      </c>
      <c r="U2" s="3" t="s">
        <v>13</v>
      </c>
    </row>
    <row r="3">
      <c r="A3" s="2" t="s">
        <v>14</v>
      </c>
      <c r="B3" s="13">
        <v>243703.0</v>
      </c>
      <c r="C3" s="2"/>
      <c r="D3" s="2">
        <v>109259.0</v>
      </c>
      <c r="E3" s="2"/>
      <c r="F3" s="3">
        <v>53726.0</v>
      </c>
      <c r="H3" s="8">
        <f>-(B4+B8+B9+B10+B11+B14+D12+D10+D4)</f>
        <v>95000</v>
      </c>
      <c r="J3" s="20">
        <v>5404375.0</v>
      </c>
      <c r="K3" s="20">
        <v>7350216.0</v>
      </c>
      <c r="L3" s="12">
        <f>(K3-J3)/J3*100</f>
        <v>36.00492194</v>
      </c>
      <c r="M3" s="11"/>
      <c r="N3" s="11"/>
      <c r="U3" s="3" t="s">
        <v>16</v>
      </c>
      <c r="V3" s="3" t="s">
        <v>200</v>
      </c>
    </row>
    <row r="4">
      <c r="A4" s="13" t="s">
        <v>17</v>
      </c>
      <c r="B4" s="13">
        <f>-17500-8000-2000</f>
        <v>-27500</v>
      </c>
      <c r="C4" s="13">
        <v>10000.0</v>
      </c>
      <c r="D4" s="13"/>
      <c r="E4" s="13">
        <f>43000-38000</f>
        <v>5000</v>
      </c>
      <c r="F4" s="8">
        <f>-(B4)-D4</f>
        <v>27500</v>
      </c>
      <c r="M4" s="11"/>
      <c r="N4" s="11"/>
      <c r="U4" s="3" t="s">
        <v>20</v>
      </c>
    </row>
    <row r="5" ht="22.5" customHeight="1">
      <c r="A5" s="13" t="s">
        <v>201</v>
      </c>
      <c r="B5" s="13">
        <v>-2500.0</v>
      </c>
      <c r="C5" s="13">
        <v>2500.0</v>
      </c>
      <c r="D5" s="1"/>
      <c r="E5" s="8">
        <f>437004-10000-2500-250198</f>
        <v>174306</v>
      </c>
      <c r="F5" s="8">
        <f t="shared" ref="F5:F16" si="1">-(B7)-D7</f>
        <v>138000</v>
      </c>
      <c r="J5" s="16" t="s">
        <v>22</v>
      </c>
      <c r="K5" s="16" t="s">
        <v>23</v>
      </c>
      <c r="L5" s="16" t="s">
        <v>24</v>
      </c>
      <c r="M5" s="17" t="s">
        <v>28</v>
      </c>
      <c r="N5" s="11"/>
      <c r="U5" s="3" t="s">
        <v>25</v>
      </c>
    </row>
    <row r="6" ht="22.5" customHeight="1">
      <c r="A6" s="13" t="s">
        <v>202</v>
      </c>
      <c r="B6" s="13">
        <v>-2500.0</v>
      </c>
      <c r="C6" s="13" t="s">
        <v>18</v>
      </c>
      <c r="D6" s="1"/>
      <c r="E6" s="13" t="s">
        <v>18</v>
      </c>
      <c r="F6" s="8">
        <f t="shared" si="1"/>
        <v>27500</v>
      </c>
      <c r="G6" s="8">
        <f>5000+3000</f>
        <v>8000</v>
      </c>
      <c r="J6" s="21" t="s">
        <v>39</v>
      </c>
      <c r="K6" s="22"/>
      <c r="L6" s="22"/>
      <c r="M6" s="21" t="s">
        <v>44</v>
      </c>
      <c r="N6" s="11"/>
      <c r="U6" s="3" t="s">
        <v>29</v>
      </c>
    </row>
    <row r="7" ht="22.5" customHeight="1">
      <c r="A7" s="13" t="s">
        <v>21</v>
      </c>
      <c r="B7" s="44">
        <f>-80000</f>
        <v>-80000</v>
      </c>
      <c r="C7" s="13" t="s">
        <v>203</v>
      </c>
      <c r="D7" s="13">
        <f>-73000+15000</f>
        <v>-58000</v>
      </c>
      <c r="E7" s="1">
        <f>38000+79500</f>
        <v>117500</v>
      </c>
      <c r="F7" s="8">
        <f t="shared" si="1"/>
        <v>8000</v>
      </c>
      <c r="J7" s="21" t="s">
        <v>46</v>
      </c>
      <c r="K7" s="21"/>
      <c r="L7" s="21"/>
      <c r="M7" s="21" t="s">
        <v>44</v>
      </c>
      <c r="N7" s="11"/>
      <c r="V7" s="3" t="s">
        <v>35</v>
      </c>
    </row>
    <row r="8" ht="22.5" customHeight="1">
      <c r="A8" s="13" t="s">
        <v>26</v>
      </c>
      <c r="B8" s="44">
        <f>-27500</f>
        <v>-27500</v>
      </c>
      <c r="C8" s="13" t="s">
        <v>204</v>
      </c>
      <c r="D8" s="13"/>
      <c r="E8" s="13"/>
      <c r="F8" s="8">
        <f t="shared" si="1"/>
        <v>0</v>
      </c>
      <c r="J8" s="25" t="s">
        <v>31</v>
      </c>
      <c r="K8" s="21"/>
      <c r="L8" s="21"/>
      <c r="M8" s="21" t="s">
        <v>59</v>
      </c>
      <c r="N8" s="20"/>
      <c r="U8" s="3" t="s">
        <v>40</v>
      </c>
    </row>
    <row r="9" ht="22.5" customHeight="1">
      <c r="A9" s="13" t="s">
        <v>30</v>
      </c>
      <c r="B9" s="44">
        <v>-8000.0</v>
      </c>
      <c r="C9" s="13" t="s">
        <v>206</v>
      </c>
      <c r="D9" s="13"/>
      <c r="E9" s="13" t="s">
        <v>207</v>
      </c>
      <c r="F9" s="8">
        <f t="shared" si="1"/>
        <v>8000</v>
      </c>
      <c r="J9" s="21" t="s">
        <v>38</v>
      </c>
      <c r="K9" s="21"/>
      <c r="L9" s="21"/>
      <c r="M9" s="21" t="s">
        <v>69</v>
      </c>
      <c r="P9" s="23" t="s">
        <v>43</v>
      </c>
      <c r="Q9" s="6"/>
    </row>
    <row r="10" ht="22.5" customHeight="1">
      <c r="A10" s="13" t="s">
        <v>36</v>
      </c>
      <c r="B10" s="13"/>
      <c r="C10" s="13"/>
      <c r="D10" s="13"/>
      <c r="E10" s="13"/>
      <c r="F10" s="8">
        <f t="shared" si="1"/>
        <v>17000</v>
      </c>
      <c r="J10" s="21" t="s">
        <v>42</v>
      </c>
      <c r="K10" s="21"/>
      <c r="L10" s="21"/>
      <c r="M10" s="21" t="s">
        <v>44</v>
      </c>
      <c r="P10" s="7" t="s">
        <v>49</v>
      </c>
      <c r="Q10" s="7" t="s">
        <v>50</v>
      </c>
    </row>
    <row r="11" ht="22.5" customHeight="1">
      <c r="A11" s="13" t="s">
        <v>41</v>
      </c>
      <c r="B11" s="44">
        <v>-7000.0</v>
      </c>
      <c r="C11" s="13" t="s">
        <v>209</v>
      </c>
      <c r="D11" s="13">
        <v>-1000.0</v>
      </c>
      <c r="E11" s="13"/>
      <c r="F11" s="8">
        <f t="shared" si="1"/>
        <v>8000</v>
      </c>
      <c r="J11" s="21" t="s">
        <v>76</v>
      </c>
      <c r="K11" s="22"/>
      <c r="L11" s="22"/>
      <c r="M11" s="21" t="s">
        <v>79</v>
      </c>
      <c r="P11" s="10">
        <v>0.0</v>
      </c>
      <c r="Q11" s="7">
        <v>0.0</v>
      </c>
    </row>
    <row r="12" ht="22.5" customHeight="1">
      <c r="A12" s="13" t="s">
        <v>45</v>
      </c>
      <c r="B12" s="13">
        <v>0.0</v>
      </c>
      <c r="C12" s="13"/>
      <c r="D12" s="13">
        <v>-17000.0</v>
      </c>
      <c r="E12" s="13"/>
      <c r="F12" s="8">
        <f t="shared" si="1"/>
        <v>13000</v>
      </c>
      <c r="J12" s="21" t="s">
        <v>210</v>
      </c>
      <c r="K12" s="22"/>
      <c r="L12" s="22"/>
      <c r="M12" s="21" t="s">
        <v>211</v>
      </c>
    </row>
    <row r="13" ht="22.5" customHeight="1">
      <c r="A13" s="13" t="s">
        <v>51</v>
      </c>
      <c r="B13" s="44">
        <v>-8000.0</v>
      </c>
      <c r="C13" s="13" t="s">
        <v>212</v>
      </c>
      <c r="D13" s="13">
        <v>0.0</v>
      </c>
      <c r="E13" s="13" t="s">
        <v>18</v>
      </c>
      <c r="F13" s="8">
        <f t="shared" si="1"/>
        <v>318</v>
      </c>
      <c r="J13" s="21" t="s">
        <v>47</v>
      </c>
      <c r="K13" s="21"/>
      <c r="L13" s="21"/>
      <c r="M13" s="21" t="s">
        <v>48</v>
      </c>
      <c r="U13" s="3" t="s">
        <v>60</v>
      </c>
    </row>
    <row r="14" ht="22.5" customHeight="1">
      <c r="A14" s="13" t="s">
        <v>53</v>
      </c>
      <c r="B14" s="44">
        <v>-8000.0</v>
      </c>
      <c r="C14" s="13" t="s">
        <v>213</v>
      </c>
      <c r="D14" s="13">
        <v>-5000.0</v>
      </c>
      <c r="E14" s="13" t="s">
        <v>18</v>
      </c>
      <c r="F14" s="8">
        <f t="shared" si="1"/>
        <v>500</v>
      </c>
      <c r="J14" s="21" t="s">
        <v>87</v>
      </c>
      <c r="K14" s="22"/>
      <c r="L14" s="22"/>
      <c r="M14" s="21" t="s">
        <v>92</v>
      </c>
      <c r="P14" s="23" t="s">
        <v>64</v>
      </c>
      <c r="Q14" s="6"/>
      <c r="R14" s="3" t="s">
        <v>65</v>
      </c>
      <c r="U14" s="3" t="s">
        <v>66</v>
      </c>
    </row>
    <row r="15" ht="22.5" customHeight="1">
      <c r="A15" s="13" t="s">
        <v>56</v>
      </c>
      <c r="B15" s="13">
        <v>-318.0</v>
      </c>
      <c r="C15" s="13" t="s">
        <v>18</v>
      </c>
      <c r="D15" s="1"/>
      <c r="E15" s="13"/>
      <c r="F15" s="8">
        <f t="shared" si="1"/>
        <v>6500</v>
      </c>
      <c r="G15" s="3">
        <v>100000.0</v>
      </c>
      <c r="J15" s="21" t="s">
        <v>215</v>
      </c>
      <c r="K15" s="22"/>
      <c r="L15" s="22"/>
      <c r="M15" s="21" t="s">
        <v>178</v>
      </c>
      <c r="P15" s="7" t="s">
        <v>71</v>
      </c>
      <c r="Q15" s="7" t="s">
        <v>50</v>
      </c>
      <c r="R15" s="3" t="s">
        <v>113</v>
      </c>
    </row>
    <row r="16" ht="22.5" customHeight="1">
      <c r="A16" s="13" t="s">
        <v>61</v>
      </c>
      <c r="B16" s="13">
        <v>-500.0</v>
      </c>
      <c r="C16" s="13" t="s">
        <v>18</v>
      </c>
      <c r="D16" s="13"/>
      <c r="E16" s="13"/>
      <c r="F16" s="8">
        <f t="shared" si="1"/>
        <v>30000</v>
      </c>
      <c r="J16" s="21" t="s">
        <v>94</v>
      </c>
      <c r="K16" s="22"/>
      <c r="L16" s="22"/>
      <c r="M16" s="21" t="s">
        <v>63</v>
      </c>
      <c r="P16" s="7">
        <f>465974+32000</f>
        <v>497974</v>
      </c>
      <c r="Q16" s="7">
        <v>418733.0</v>
      </c>
      <c r="R16" s="8">
        <f>P16-Q16</f>
        <v>79241</v>
      </c>
      <c r="S16" s="3" t="s">
        <v>74</v>
      </c>
      <c r="T16" s="3" t="s">
        <v>75</v>
      </c>
      <c r="U16" s="3">
        <f>460000+230000+Q16</f>
        <v>1108733</v>
      </c>
    </row>
    <row r="17" ht="22.5" customHeight="1">
      <c r="A17" s="13" t="s">
        <v>67</v>
      </c>
      <c r="B17" s="44">
        <v>-6500.0</v>
      </c>
      <c r="C17" s="13" t="s">
        <v>216</v>
      </c>
      <c r="D17" s="1"/>
      <c r="E17" s="13" t="s">
        <v>218</v>
      </c>
      <c r="J17" s="21" t="s">
        <v>52</v>
      </c>
      <c r="K17" s="21"/>
      <c r="L17" s="21"/>
      <c r="M17" s="21" t="s">
        <v>48</v>
      </c>
      <c r="U17" s="8">
        <f>P16-U16</f>
        <v>-610759</v>
      </c>
    </row>
    <row r="18" ht="22.5" customHeight="1">
      <c r="A18" s="13" t="s">
        <v>217</v>
      </c>
      <c r="B18" s="44">
        <v>-30000.0</v>
      </c>
      <c r="C18" s="13" t="s">
        <v>219</v>
      </c>
      <c r="D18" s="1"/>
      <c r="E18" s="13" t="s">
        <v>207</v>
      </c>
      <c r="J18" s="21" t="s">
        <v>115</v>
      </c>
      <c r="K18" s="22"/>
      <c r="L18" s="22"/>
      <c r="M18" s="21" t="s">
        <v>118</v>
      </c>
      <c r="P18" s="23" t="s">
        <v>81</v>
      </c>
      <c r="Q18" s="6"/>
    </row>
    <row r="19" ht="22.5" customHeight="1">
      <c r="A19" s="13" t="s">
        <v>78</v>
      </c>
      <c r="B19" s="44">
        <v>-14500.0</v>
      </c>
      <c r="C19" s="13" t="s">
        <v>220</v>
      </c>
      <c r="D19" s="1"/>
      <c r="E19" s="13" t="s">
        <v>207</v>
      </c>
      <c r="J19" s="21" t="s">
        <v>54</v>
      </c>
      <c r="K19" s="21"/>
      <c r="L19" s="21"/>
      <c r="M19" s="21" t="s">
        <v>122</v>
      </c>
      <c r="P19" s="7" t="s">
        <v>71</v>
      </c>
      <c r="Q19" s="7" t="s">
        <v>50</v>
      </c>
    </row>
    <row r="20" ht="22.5" customHeight="1">
      <c r="A20" s="13" t="s">
        <v>221</v>
      </c>
      <c r="B20" s="44">
        <v>-5000.0</v>
      </c>
      <c r="C20" s="13" t="s">
        <v>222</v>
      </c>
      <c r="D20" s="13">
        <v>-5000.0</v>
      </c>
      <c r="E20" s="13" t="s">
        <v>207</v>
      </c>
      <c r="J20" s="21" t="s">
        <v>57</v>
      </c>
      <c r="K20" s="21"/>
      <c r="L20" s="21"/>
      <c r="M20" s="21" t="s">
        <v>58</v>
      </c>
      <c r="P20" s="3">
        <v>900.0</v>
      </c>
      <c r="Q20" s="3">
        <v>900.0</v>
      </c>
    </row>
    <row r="21" ht="22.5" customHeight="1">
      <c r="A21" s="13" t="s">
        <v>124</v>
      </c>
      <c r="B21" s="44"/>
      <c r="C21" s="13" t="s">
        <v>223</v>
      </c>
      <c r="D21" s="1"/>
      <c r="E21" s="13">
        <v>9000.0</v>
      </c>
      <c r="J21" s="25" t="s">
        <v>68</v>
      </c>
      <c r="K21" s="21"/>
      <c r="L21" s="21"/>
      <c r="M21" s="21" t="s">
        <v>70</v>
      </c>
      <c r="P21" s="20"/>
      <c r="Q21" s="20"/>
      <c r="R21" s="20"/>
      <c r="S21" s="20"/>
    </row>
    <row r="22" ht="22.5" customHeight="1">
      <c r="A22" s="13"/>
      <c r="B22" s="13"/>
      <c r="C22" s="13"/>
      <c r="D22" s="13"/>
      <c r="E22" s="1"/>
      <c r="J22" s="34" t="s">
        <v>62</v>
      </c>
      <c r="K22" s="21"/>
      <c r="L22" s="21"/>
      <c r="M22" s="21" t="s">
        <v>129</v>
      </c>
      <c r="P22" s="20"/>
      <c r="Q22" s="20"/>
      <c r="R22" s="20"/>
      <c r="S22" s="20"/>
    </row>
    <row r="23" ht="22.5" customHeight="1">
      <c r="A23" s="13" t="s">
        <v>86</v>
      </c>
      <c r="B23" s="1">
        <f>SUM(B3:B22)</f>
        <v>15885</v>
      </c>
      <c r="C23" s="1"/>
      <c r="D23" s="1">
        <f>SUM(D3:D22)</f>
        <v>23259</v>
      </c>
      <c r="E23" s="1"/>
      <c r="J23" s="21" t="s">
        <v>73</v>
      </c>
      <c r="K23" s="21"/>
      <c r="L23" s="21"/>
      <c r="M23" s="21" t="s">
        <v>131</v>
      </c>
      <c r="P23" s="23" t="s">
        <v>91</v>
      </c>
      <c r="Q23" s="6"/>
      <c r="R23" s="20"/>
      <c r="S23" s="20"/>
    </row>
    <row r="24" ht="22.5" customHeight="1">
      <c r="J24" s="21" t="s">
        <v>77</v>
      </c>
      <c r="K24" s="21"/>
      <c r="L24" s="21"/>
      <c r="M24" s="21" t="s">
        <v>131</v>
      </c>
      <c r="P24" s="7" t="s">
        <v>71</v>
      </c>
      <c r="Q24" s="7" t="s">
        <v>50</v>
      </c>
      <c r="R24" s="20" t="s">
        <v>142</v>
      </c>
      <c r="S24" s="20"/>
    </row>
    <row r="25" ht="22.5" customHeight="1">
      <c r="E25" s="3" t="s">
        <v>98</v>
      </c>
      <c r="J25" s="25" t="s">
        <v>134</v>
      </c>
      <c r="K25" s="21"/>
      <c r="L25" s="21"/>
      <c r="M25" s="21" t="s">
        <v>136</v>
      </c>
      <c r="P25" s="7">
        <f>98822+16000</f>
        <v>114822</v>
      </c>
      <c r="Q25" s="7">
        <f>99945-1122</f>
        <v>98823</v>
      </c>
      <c r="R25" s="20" t="s">
        <v>99</v>
      </c>
      <c r="S25" s="20" t="s">
        <v>100</v>
      </c>
    </row>
    <row r="26" ht="22.5" customHeight="1">
      <c r="E26" s="3" t="s">
        <v>107</v>
      </c>
      <c r="F26" s="3">
        <v>15000.0</v>
      </c>
      <c r="J26" s="25" t="s">
        <v>137</v>
      </c>
      <c r="K26" s="21"/>
      <c r="L26" s="21"/>
      <c r="M26" s="21" t="s">
        <v>131</v>
      </c>
      <c r="Q26" s="20"/>
      <c r="R26" s="20"/>
      <c r="S26" s="20"/>
    </row>
    <row r="27" ht="22.5" customHeight="1">
      <c r="E27" s="3" t="s">
        <v>109</v>
      </c>
      <c r="F27" s="3">
        <v>5000.0</v>
      </c>
      <c r="J27" s="21" t="s">
        <v>112</v>
      </c>
      <c r="K27" s="22"/>
      <c r="L27" s="22"/>
      <c r="M27" s="21" t="s">
        <v>44</v>
      </c>
      <c r="Q27" s="20"/>
      <c r="R27" s="20"/>
      <c r="S27" s="20"/>
    </row>
    <row r="28" ht="22.5" customHeight="1">
      <c r="E28" s="3" t="s">
        <v>111</v>
      </c>
      <c r="F28" s="3">
        <v>10000.0</v>
      </c>
      <c r="J28" s="25" t="s">
        <v>85</v>
      </c>
      <c r="K28" s="21"/>
      <c r="L28" s="21"/>
      <c r="M28" s="21" t="s">
        <v>131</v>
      </c>
      <c r="P28" s="23" t="s">
        <v>106</v>
      </c>
      <c r="Q28" s="6"/>
      <c r="R28" s="20" t="s">
        <v>108</v>
      </c>
      <c r="S28" s="20"/>
    </row>
    <row r="29" ht="22.5" customHeight="1">
      <c r="J29" s="25" t="s">
        <v>88</v>
      </c>
      <c r="K29" s="21"/>
      <c r="L29" s="21"/>
      <c r="M29" s="21" t="s">
        <v>131</v>
      </c>
      <c r="P29" s="7" t="s">
        <v>71</v>
      </c>
      <c r="Q29" s="7" t="s">
        <v>50</v>
      </c>
      <c r="R29" s="20"/>
      <c r="S29" s="20"/>
    </row>
    <row r="30" ht="22.5" customHeight="1">
      <c r="J30" s="21" t="s">
        <v>227</v>
      </c>
      <c r="K30" s="22"/>
      <c r="L30" s="22"/>
      <c r="M30" s="21" t="s">
        <v>228</v>
      </c>
      <c r="P30" s="7">
        <v>406824.0</v>
      </c>
      <c r="Q30" s="7">
        <f>E5</f>
        <v>174306</v>
      </c>
      <c r="R30" s="20">
        <f>P30-Q30</f>
        <v>232518</v>
      </c>
      <c r="S30" s="20" t="s">
        <v>230</v>
      </c>
      <c r="T30" s="3" t="s">
        <v>232</v>
      </c>
    </row>
    <row r="31" ht="22.5" customHeight="1">
      <c r="J31" s="21" t="s">
        <v>89</v>
      </c>
      <c r="K31" s="21"/>
      <c r="L31" s="21"/>
      <c r="M31" s="21" t="s">
        <v>33</v>
      </c>
      <c r="Q31" s="20"/>
      <c r="R31" s="20"/>
      <c r="S31" s="20"/>
    </row>
    <row r="32" ht="22.5" customHeight="1">
      <c r="J32" s="25" t="s">
        <v>90</v>
      </c>
      <c r="K32" s="21"/>
      <c r="L32" s="21"/>
      <c r="M32" s="21" t="s">
        <v>131</v>
      </c>
      <c r="P32" s="23" t="s">
        <v>117</v>
      </c>
      <c r="Q32" s="6"/>
      <c r="R32" s="20"/>
      <c r="S32" s="20"/>
    </row>
    <row r="33" ht="22.5" customHeight="1">
      <c r="J33" s="21" t="s">
        <v>93</v>
      </c>
      <c r="K33" s="21"/>
      <c r="L33" s="37"/>
      <c r="M33" s="21" t="s">
        <v>150</v>
      </c>
      <c r="P33" s="7" t="s">
        <v>71</v>
      </c>
      <c r="Q33" s="7" t="s">
        <v>50</v>
      </c>
      <c r="R33" s="20"/>
      <c r="S33" s="20"/>
    </row>
    <row r="34" ht="22.5" customHeight="1">
      <c r="J34" s="38" t="s">
        <v>97</v>
      </c>
      <c r="K34" s="21"/>
      <c r="L34" s="37"/>
      <c r="M34" s="21" t="s">
        <v>131</v>
      </c>
      <c r="P34" s="7">
        <v>20299.0</v>
      </c>
      <c r="Q34" s="7">
        <v>20299.0</v>
      </c>
      <c r="R34" s="3" t="s">
        <v>121</v>
      </c>
      <c r="S34" s="20"/>
    </row>
    <row r="35" ht="22.5" customHeight="1">
      <c r="J35" s="21" t="s">
        <v>103</v>
      </c>
      <c r="K35" s="21"/>
      <c r="L35" s="21"/>
      <c r="M35" s="21" t="s">
        <v>131</v>
      </c>
    </row>
    <row r="36" ht="22.5" customHeight="1">
      <c r="J36" s="25" t="s">
        <v>104</v>
      </c>
      <c r="K36" s="22"/>
      <c r="L36" s="37"/>
      <c r="M36" s="21" t="s">
        <v>131</v>
      </c>
      <c r="P36" s="23" t="s">
        <v>123</v>
      </c>
      <c r="Q36" s="6"/>
    </row>
    <row r="37" ht="22.5" customHeight="1">
      <c r="J37" s="22"/>
      <c r="K37" s="22"/>
      <c r="L37" s="22"/>
      <c r="M37" s="22"/>
      <c r="P37" s="7" t="s">
        <v>71</v>
      </c>
      <c r="Q37" s="7" t="s">
        <v>50</v>
      </c>
    </row>
    <row r="38">
      <c r="P38" s="7">
        <v>20000.0</v>
      </c>
      <c r="Q38" s="7">
        <v>5000.0</v>
      </c>
    </row>
    <row r="40">
      <c r="P40" s="23" t="s">
        <v>130</v>
      </c>
      <c r="Q40" s="6"/>
    </row>
    <row r="41">
      <c r="P41" s="7" t="s">
        <v>71</v>
      </c>
      <c r="Q41" s="7" t="s">
        <v>50</v>
      </c>
      <c r="R41" s="3" t="s">
        <v>135</v>
      </c>
    </row>
    <row r="42">
      <c r="P42" s="7">
        <f>131074+50000</f>
        <v>181074</v>
      </c>
      <c r="Q42" s="7">
        <v>186772.0</v>
      </c>
      <c r="R42" s="3" t="s">
        <v>138</v>
      </c>
    </row>
    <row r="44">
      <c r="P44" s="23" t="s">
        <v>145</v>
      </c>
      <c r="Q44" s="6"/>
    </row>
    <row r="45">
      <c r="P45" s="7" t="s">
        <v>71</v>
      </c>
      <c r="Q45" s="7" t="s">
        <v>50</v>
      </c>
      <c r="R45" s="3" t="s">
        <v>238</v>
      </c>
    </row>
    <row r="46">
      <c r="P46" s="7">
        <v>685550.0</v>
      </c>
      <c r="Q46" s="7">
        <f>717399-100852-17000</f>
        <v>599547</v>
      </c>
      <c r="R46" s="3" t="s">
        <v>148</v>
      </c>
      <c r="S46" s="3" t="s">
        <v>149</v>
      </c>
      <c r="T46" s="3" t="s">
        <v>239</v>
      </c>
    </row>
    <row r="48">
      <c r="J48" s="4" t="s">
        <v>119</v>
      </c>
      <c r="K48" s="5"/>
      <c r="L48" s="5"/>
      <c r="M48" s="5"/>
      <c r="N48" s="6"/>
      <c r="P48" s="23" t="s">
        <v>152</v>
      </c>
      <c r="Q48" s="6"/>
    </row>
    <row r="49">
      <c r="J49" s="9" t="s">
        <v>198</v>
      </c>
      <c r="K49" s="9" t="s">
        <v>10</v>
      </c>
      <c r="L49" s="10" t="s">
        <v>11</v>
      </c>
      <c r="M49" s="11"/>
      <c r="N49" s="11"/>
      <c r="P49" s="7" t="s">
        <v>71</v>
      </c>
      <c r="Q49" s="7" t="s">
        <v>50</v>
      </c>
    </row>
    <row r="50">
      <c r="J50" s="3">
        <f>952189+(73277-3572)</f>
        <v>1021894</v>
      </c>
      <c r="K50" s="3">
        <f>983030+73277</f>
        <v>1056307</v>
      </c>
      <c r="L50" s="12">
        <f>(K50-J50)/J50*100</f>
        <v>3.367570413</v>
      </c>
      <c r="M50" s="11"/>
      <c r="N50" s="11"/>
      <c r="P50" s="7">
        <v>16107.0</v>
      </c>
      <c r="Q50" s="7">
        <f>17229-1122</f>
        <v>16107</v>
      </c>
    </row>
    <row r="51">
      <c r="J51" s="11"/>
      <c r="K51" s="11"/>
      <c r="L51" s="11"/>
      <c r="M51" s="11"/>
      <c r="N51" s="11"/>
    </row>
    <row r="52" ht="22.5" customHeight="1">
      <c r="J52" s="16" t="s">
        <v>22</v>
      </c>
      <c r="K52" s="16" t="s">
        <v>23</v>
      </c>
      <c r="L52" s="16" t="s">
        <v>24</v>
      </c>
      <c r="M52" s="16" t="s">
        <v>125</v>
      </c>
      <c r="N52" s="33" t="s">
        <v>126</v>
      </c>
      <c r="P52" s="23" t="s">
        <v>160</v>
      </c>
      <c r="Q52" s="6"/>
    </row>
    <row r="53" ht="22.5" customHeight="1">
      <c r="I53" s="40" t="s">
        <v>173</v>
      </c>
      <c r="J53" s="21" t="s">
        <v>47</v>
      </c>
      <c r="K53" s="21">
        <v>9.9</v>
      </c>
      <c r="L53" s="21">
        <v>4999.0</v>
      </c>
      <c r="M53" s="21" t="s">
        <v>174</v>
      </c>
      <c r="N53" s="35"/>
      <c r="P53" s="7" t="s">
        <v>71</v>
      </c>
      <c r="Q53" s="7" t="s">
        <v>50</v>
      </c>
    </row>
    <row r="54" ht="22.5" customHeight="1">
      <c r="J54" s="21" t="s">
        <v>52</v>
      </c>
      <c r="K54" s="21">
        <v>140.0</v>
      </c>
      <c r="L54" s="21">
        <v>4999.0</v>
      </c>
      <c r="M54" s="21" t="s">
        <v>174</v>
      </c>
      <c r="N54" s="35"/>
      <c r="P54" s="7">
        <v>4317.0</v>
      </c>
      <c r="Q54" s="7">
        <v>4428.0</v>
      </c>
    </row>
    <row r="55" ht="22.5" customHeight="1">
      <c r="J55" s="25" t="s">
        <v>88</v>
      </c>
      <c r="K55" s="21">
        <v>1310.3</v>
      </c>
      <c r="L55" s="21">
        <v>22998.0</v>
      </c>
      <c r="M55" s="21" t="s">
        <v>179</v>
      </c>
      <c r="N55" s="36"/>
      <c r="S55" s="26"/>
      <c r="T55" s="7" t="s">
        <v>181</v>
      </c>
    </row>
    <row r="56" ht="22.5" customHeight="1">
      <c r="J56" s="25" t="s">
        <v>90</v>
      </c>
      <c r="K56" s="21">
        <v>188.4</v>
      </c>
      <c r="L56" s="21">
        <v>14499.0</v>
      </c>
      <c r="M56" s="21" t="s">
        <v>179</v>
      </c>
      <c r="S56" s="7" t="s">
        <v>184</v>
      </c>
      <c r="T56" s="7">
        <v>25821.98</v>
      </c>
    </row>
    <row r="57" ht="22.5" customHeight="1">
      <c r="J57" s="21" t="s">
        <v>141</v>
      </c>
      <c r="K57" s="21">
        <v>398.9</v>
      </c>
      <c r="L57" s="21">
        <v>5999.0</v>
      </c>
      <c r="M57" s="21" t="s">
        <v>69</v>
      </c>
      <c r="S57" s="7" t="s">
        <v>187</v>
      </c>
      <c r="T57" s="7">
        <v>20000.0</v>
      </c>
    </row>
    <row r="58" ht="22.5" customHeight="1">
      <c r="J58" s="21" t="s">
        <v>188</v>
      </c>
      <c r="K58" s="21">
        <v>4.0</v>
      </c>
      <c r="L58" s="21">
        <v>16208.0</v>
      </c>
      <c r="M58" s="21" t="s">
        <v>179</v>
      </c>
      <c r="S58" s="7" t="s">
        <v>190</v>
      </c>
      <c r="T58" s="7">
        <v>74652.0</v>
      </c>
    </row>
    <row r="59" ht="22.5" customHeight="1">
      <c r="J59" s="21" t="s">
        <v>146</v>
      </c>
      <c r="K59" s="21">
        <v>15.0</v>
      </c>
      <c r="L59" s="21">
        <v>202298.0</v>
      </c>
      <c r="M59" s="21" t="s">
        <v>44</v>
      </c>
      <c r="T59" s="8">
        <f>T58-T56-T57</f>
        <v>28830.02</v>
      </c>
    </row>
    <row r="60" ht="22.5" customHeight="1">
      <c r="J60" s="25" t="s">
        <v>88</v>
      </c>
      <c r="K60" s="21"/>
      <c r="L60" s="21"/>
      <c r="M60" s="21" t="s">
        <v>179</v>
      </c>
    </row>
    <row r="61" ht="22.5" customHeight="1">
      <c r="J61" s="21" t="s">
        <v>57</v>
      </c>
      <c r="K61" s="21"/>
      <c r="L61" s="21"/>
      <c r="M61" s="21" t="s">
        <v>193</v>
      </c>
    </row>
    <row r="62" ht="22.5" customHeight="1">
      <c r="J62" s="25" t="s">
        <v>90</v>
      </c>
      <c r="K62" s="21"/>
      <c r="L62" s="21"/>
      <c r="M62" s="21" t="s">
        <v>179</v>
      </c>
    </row>
    <row r="63" ht="22.5" customHeight="1">
      <c r="I63" s="40" t="s">
        <v>194</v>
      </c>
      <c r="J63" s="21" t="s">
        <v>154</v>
      </c>
      <c r="K63" s="21"/>
      <c r="L63" s="21">
        <v>15799.0</v>
      </c>
      <c r="M63" s="21" t="s">
        <v>155</v>
      </c>
    </row>
    <row r="64" ht="22.5" customHeight="1">
      <c r="J64" s="21" t="s">
        <v>39</v>
      </c>
      <c r="K64" s="22"/>
      <c r="L64" s="21">
        <v>29998.0</v>
      </c>
      <c r="M64" s="21" t="s">
        <v>44</v>
      </c>
    </row>
    <row r="65" ht="22.5" customHeight="1">
      <c r="J65" s="21" t="s">
        <v>46</v>
      </c>
      <c r="K65" s="22"/>
      <c r="L65" s="21">
        <v>36098.0</v>
      </c>
      <c r="M65" s="21" t="s">
        <v>44</v>
      </c>
    </row>
    <row r="66" ht="22.5" customHeight="1">
      <c r="J66" s="21" t="s">
        <v>166</v>
      </c>
      <c r="K66" s="21"/>
      <c r="L66" s="21">
        <v>24320.0</v>
      </c>
      <c r="M66" s="21" t="s">
        <v>167</v>
      </c>
    </row>
    <row r="67" ht="22.5" customHeight="1">
      <c r="J67" s="21" t="s">
        <v>42</v>
      </c>
      <c r="K67" s="21"/>
      <c r="L67" s="21">
        <v>61096.0</v>
      </c>
      <c r="M67" s="21" t="s">
        <v>44</v>
      </c>
      <c r="N67" s="36" t="s">
        <v>163</v>
      </c>
    </row>
    <row r="68" ht="22.5" customHeight="1">
      <c r="J68" s="21" t="s">
        <v>76</v>
      </c>
      <c r="K68" s="22"/>
      <c r="L68" s="21">
        <v>160991.0</v>
      </c>
      <c r="M68" s="21" t="s">
        <v>44</v>
      </c>
    </row>
    <row r="69" ht="22.5" customHeight="1">
      <c r="J69" s="21" t="s">
        <v>87</v>
      </c>
      <c r="K69" s="21"/>
      <c r="L69" s="21">
        <v>64996.0</v>
      </c>
      <c r="M69" s="21" t="s">
        <v>158</v>
      </c>
    </row>
    <row r="70" ht="22.5" customHeight="1">
      <c r="J70" s="21" t="s">
        <v>195</v>
      </c>
      <c r="K70" s="34"/>
      <c r="L70" s="34">
        <v>14999.0</v>
      </c>
      <c r="M70" s="34" t="s">
        <v>196</v>
      </c>
    </row>
    <row r="71" ht="22.5" customHeight="1">
      <c r="J71" s="21" t="s">
        <v>94</v>
      </c>
      <c r="K71" s="22"/>
      <c r="L71" s="21">
        <v>30698.0</v>
      </c>
      <c r="M71" s="21" t="s">
        <v>169</v>
      </c>
    </row>
    <row r="72" ht="22.5" customHeight="1">
      <c r="J72" s="21" t="s">
        <v>57</v>
      </c>
      <c r="K72" s="21"/>
      <c r="L72" s="21">
        <v>70996.0</v>
      </c>
      <c r="M72" s="21" t="s">
        <v>151</v>
      </c>
    </row>
    <row r="73" ht="22.5" customHeight="1">
      <c r="J73" s="21" t="s">
        <v>112</v>
      </c>
      <c r="K73" s="22"/>
      <c r="L73" s="22"/>
      <c r="M73" s="21" t="s">
        <v>211</v>
      </c>
    </row>
    <row r="74" ht="22.5" customHeight="1">
      <c r="J74" s="21" t="s">
        <v>170</v>
      </c>
      <c r="K74" s="21"/>
      <c r="L74" s="21">
        <v>4999.0</v>
      </c>
      <c r="M74" s="21" t="s">
        <v>69</v>
      </c>
      <c r="N74" s="42"/>
    </row>
    <row r="75" ht="22.5" customHeight="1">
      <c r="J75" s="25" t="s">
        <v>88</v>
      </c>
      <c r="K75" s="22"/>
      <c r="L75" s="21">
        <v>96995.0</v>
      </c>
      <c r="M75" s="21" t="s">
        <v>44</v>
      </c>
      <c r="N75" s="42"/>
    </row>
    <row r="76" ht="22.5" customHeight="1">
      <c r="J76" s="25" t="s">
        <v>90</v>
      </c>
      <c r="K76" s="22"/>
      <c r="L76" s="21">
        <v>69996.0</v>
      </c>
      <c r="M76" s="21" t="s">
        <v>179</v>
      </c>
      <c r="N76" s="42"/>
    </row>
    <row r="83">
      <c r="J83" s="9" t="s">
        <v>198</v>
      </c>
      <c r="K83" s="9" t="s">
        <v>10</v>
      </c>
      <c r="L83" s="10" t="s">
        <v>11</v>
      </c>
    </row>
    <row r="84">
      <c r="J84" s="3">
        <v>854948.0</v>
      </c>
      <c r="K84" s="3">
        <v>1052379.0</v>
      </c>
      <c r="L84" s="12">
        <f>(K84-J84)/J84*100</f>
        <v>23.0927495</v>
      </c>
    </row>
    <row r="87">
      <c r="J87" s="43" t="s">
        <v>22</v>
      </c>
      <c r="K87" s="43" t="s">
        <v>23</v>
      </c>
      <c r="L87" s="43" t="s">
        <v>24</v>
      </c>
      <c r="M87" s="43" t="s">
        <v>125</v>
      </c>
    </row>
    <row r="88">
      <c r="J88" s="27" t="s">
        <v>175</v>
      </c>
      <c r="K88" s="27"/>
      <c r="L88" s="27">
        <v>31398.0</v>
      </c>
      <c r="M88" s="27" t="s">
        <v>176</v>
      </c>
    </row>
    <row r="89">
      <c r="J89" s="27" t="s">
        <v>183</v>
      </c>
      <c r="K89" s="27"/>
      <c r="L89" s="27">
        <v>140993.0</v>
      </c>
      <c r="M89" s="27" t="s">
        <v>185</v>
      </c>
    </row>
    <row r="90">
      <c r="J90" s="7" t="s">
        <v>191</v>
      </c>
      <c r="K90" s="7"/>
      <c r="L90" s="7">
        <v>15999.0</v>
      </c>
      <c r="M90" s="7" t="s">
        <v>192</v>
      </c>
    </row>
  </sheetData>
  <mergeCells count="14">
    <mergeCell ref="P32:Q32"/>
    <mergeCell ref="P36:Q36"/>
    <mergeCell ref="P40:Q40"/>
    <mergeCell ref="P44:Q44"/>
    <mergeCell ref="J48:N48"/>
    <mergeCell ref="P48:Q48"/>
    <mergeCell ref="P52:Q52"/>
    <mergeCell ref="J1:N1"/>
    <mergeCell ref="T2:T7"/>
    <mergeCell ref="P9:Q9"/>
    <mergeCell ref="P14:Q14"/>
    <mergeCell ref="P18:Q18"/>
    <mergeCell ref="P23:Q23"/>
    <mergeCell ref="P28:Q28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6.13"/>
    <col customWidth="1" min="4" max="4" width="12.63"/>
    <col customWidth="1" min="5" max="5" width="25.88"/>
    <col customWidth="1" min="10" max="10" width="34.25"/>
    <col customWidth="1" min="12" max="12" width="19.13"/>
    <col customWidth="1" min="13" max="13" width="37.13"/>
    <col customWidth="1" min="16" max="16" width="26.75"/>
    <col customWidth="1" min="17" max="17" width="13.0"/>
    <col customWidth="1" min="21" max="21" width="42.88"/>
  </cols>
  <sheetData>
    <row r="1">
      <c r="A1" s="1"/>
      <c r="B1" s="2" t="s">
        <v>0</v>
      </c>
      <c r="C1" s="2" t="s">
        <v>197</v>
      </c>
      <c r="D1" s="2" t="s">
        <v>1</v>
      </c>
      <c r="E1" s="2" t="s">
        <v>2</v>
      </c>
      <c r="G1" s="3" t="s">
        <v>3</v>
      </c>
      <c r="H1" s="3" t="s">
        <v>4</v>
      </c>
      <c r="J1" s="4" t="s">
        <v>5</v>
      </c>
      <c r="K1" s="5"/>
      <c r="L1" s="5"/>
      <c r="M1" s="5"/>
      <c r="N1" s="6"/>
    </row>
    <row r="2">
      <c r="A2" s="1"/>
      <c r="B2" s="13">
        <f>'May-2026'!Q30+B3</f>
        <v>424504</v>
      </c>
      <c r="C2" s="13"/>
      <c r="D2" s="13">
        <f>599547+D3</f>
        <v>700399</v>
      </c>
      <c r="E2" s="26"/>
      <c r="F2" s="8">
        <f>B2-B3</f>
        <v>174306</v>
      </c>
      <c r="J2" s="9" t="s">
        <v>199</v>
      </c>
      <c r="K2" s="9" t="s">
        <v>10</v>
      </c>
      <c r="L2" s="10" t="s">
        <v>11</v>
      </c>
      <c r="M2" s="11"/>
      <c r="N2" s="11"/>
      <c r="T2" s="3" t="s">
        <v>12</v>
      </c>
      <c r="U2" s="3" t="s">
        <v>13</v>
      </c>
    </row>
    <row r="3">
      <c r="A3" s="2" t="s">
        <v>14</v>
      </c>
      <c r="B3" s="13">
        <v>250198.0</v>
      </c>
      <c r="C3" s="2"/>
      <c r="D3" s="2">
        <v>100852.0</v>
      </c>
      <c r="E3" s="2"/>
      <c r="F3" s="3">
        <v>53726.0</v>
      </c>
      <c r="H3" s="8">
        <f>-(B4+B8+B9+B10+B11+B14+D12+D10+D4)</f>
        <v>76000</v>
      </c>
      <c r="J3" s="20">
        <v>5634155.0</v>
      </c>
      <c r="K3" s="20">
        <v>7604662.0</v>
      </c>
      <c r="L3" s="12">
        <f>(K3-J3)/J3*100</f>
        <v>34.97431292</v>
      </c>
      <c r="M3" s="11"/>
      <c r="N3" s="11"/>
      <c r="U3" s="3" t="s">
        <v>16</v>
      </c>
      <c r="V3" s="3" t="s">
        <v>200</v>
      </c>
    </row>
    <row r="4">
      <c r="A4" s="13" t="s">
        <v>17</v>
      </c>
      <c r="B4" s="13">
        <v>-10000.0</v>
      </c>
      <c r="C4" s="13"/>
      <c r="D4" s="13"/>
      <c r="E4" s="26">
        <f>B20+B19+B18+B17+B11+B9+B7</f>
        <v>-163000</v>
      </c>
      <c r="F4" s="8">
        <f>-(B4)-D4</f>
        <v>10000</v>
      </c>
      <c r="M4" s="11"/>
      <c r="N4" s="11"/>
      <c r="U4" s="3" t="s">
        <v>20</v>
      </c>
    </row>
    <row r="5" ht="22.5" customHeight="1">
      <c r="A5" s="13" t="s">
        <v>201</v>
      </c>
      <c r="B5" s="13">
        <v>-2500.0</v>
      </c>
      <c r="C5" s="13"/>
      <c r="D5" s="1"/>
      <c r="E5" s="1">
        <f>445734-223008-11000-10000</f>
        <v>201726</v>
      </c>
      <c r="F5" s="8">
        <f t="shared" ref="F5:F16" si="1">-(B7)-D7</f>
        <v>168000</v>
      </c>
      <c r="J5" s="16" t="s">
        <v>22</v>
      </c>
      <c r="K5" s="16" t="s">
        <v>23</v>
      </c>
      <c r="L5" s="16" t="s">
        <v>24</v>
      </c>
      <c r="M5" s="17" t="s">
        <v>28</v>
      </c>
      <c r="N5" s="11"/>
      <c r="U5" s="3" t="s">
        <v>25</v>
      </c>
    </row>
    <row r="6" ht="22.5" customHeight="1">
      <c r="A6" s="13" t="s">
        <v>202</v>
      </c>
      <c r="B6" s="13">
        <v>-5000.0</v>
      </c>
      <c r="C6" s="13"/>
      <c r="D6" s="1"/>
      <c r="E6" s="13" t="s">
        <v>18</v>
      </c>
      <c r="F6" s="8">
        <f t="shared" si="1"/>
        <v>25000</v>
      </c>
      <c r="G6" s="8">
        <f>5000+3000</f>
        <v>8000</v>
      </c>
      <c r="J6" s="21" t="s">
        <v>39</v>
      </c>
      <c r="K6" s="22"/>
      <c r="L6" s="22"/>
      <c r="M6" s="21" t="s">
        <v>44</v>
      </c>
      <c r="N6" s="11"/>
      <c r="U6" s="3" t="s">
        <v>29</v>
      </c>
    </row>
    <row r="7" ht="22.5" customHeight="1">
      <c r="A7" s="13" t="s">
        <v>21</v>
      </c>
      <c r="B7" s="13">
        <f>-80000</f>
        <v>-80000</v>
      </c>
      <c r="C7" s="13" t="s">
        <v>203</v>
      </c>
      <c r="D7" s="13">
        <f>-88000</f>
        <v>-88000</v>
      </c>
      <c r="E7" s="13">
        <f>46500+79500</f>
        <v>126000</v>
      </c>
      <c r="F7" s="8">
        <f t="shared" si="1"/>
        <v>8000</v>
      </c>
      <c r="J7" s="21" t="s">
        <v>46</v>
      </c>
      <c r="K7" s="21"/>
      <c r="L7" s="21"/>
      <c r="M7" s="21" t="s">
        <v>44</v>
      </c>
      <c r="N7" s="11"/>
      <c r="V7" s="3" t="s">
        <v>35</v>
      </c>
    </row>
    <row r="8" ht="22.5" customHeight="1">
      <c r="A8" s="13" t="s">
        <v>26</v>
      </c>
      <c r="B8" s="13">
        <f>-25000</f>
        <v>-25000</v>
      </c>
      <c r="C8" s="13" t="s">
        <v>204</v>
      </c>
      <c r="D8" s="13"/>
      <c r="E8" s="13"/>
      <c r="F8" s="8">
        <f t="shared" si="1"/>
        <v>1000</v>
      </c>
      <c r="J8" s="25" t="s">
        <v>31</v>
      </c>
      <c r="K8" s="21"/>
      <c r="L8" s="21"/>
      <c r="M8" s="21" t="s">
        <v>59</v>
      </c>
      <c r="N8" s="20"/>
      <c r="U8" s="3" t="s">
        <v>40</v>
      </c>
    </row>
    <row r="9" ht="22.5" customHeight="1">
      <c r="A9" s="13" t="s">
        <v>30</v>
      </c>
      <c r="B9" s="13">
        <v>-8000.0</v>
      </c>
      <c r="C9" s="13" t="s">
        <v>206</v>
      </c>
      <c r="D9" s="13"/>
      <c r="E9" s="13" t="s">
        <v>207</v>
      </c>
      <c r="F9" s="8">
        <f t="shared" si="1"/>
        <v>8000</v>
      </c>
      <c r="J9" s="21" t="s">
        <v>38</v>
      </c>
      <c r="K9" s="21"/>
      <c r="L9" s="21"/>
      <c r="M9" s="21" t="s">
        <v>69</v>
      </c>
      <c r="P9" s="23" t="s">
        <v>43</v>
      </c>
      <c r="Q9" s="6"/>
    </row>
    <row r="10" ht="22.5" customHeight="1">
      <c r="A10" s="13" t="s">
        <v>36</v>
      </c>
      <c r="B10" s="13"/>
      <c r="C10" s="13"/>
      <c r="D10" s="13">
        <v>-1000.0</v>
      </c>
      <c r="E10" s="13"/>
      <c r="F10" s="8">
        <f t="shared" si="1"/>
        <v>17000</v>
      </c>
      <c r="J10" s="21" t="s">
        <v>42</v>
      </c>
      <c r="K10" s="21"/>
      <c r="L10" s="21"/>
      <c r="M10" s="21" t="s">
        <v>44</v>
      </c>
      <c r="P10" s="7" t="s">
        <v>49</v>
      </c>
      <c r="Q10" s="7" t="s">
        <v>50</v>
      </c>
    </row>
    <row r="11" ht="22.5" customHeight="1">
      <c r="A11" s="13" t="s">
        <v>41</v>
      </c>
      <c r="B11" s="13">
        <v>-7000.0</v>
      </c>
      <c r="C11" s="13" t="s">
        <v>209</v>
      </c>
      <c r="D11" s="13">
        <v>-1000.0</v>
      </c>
      <c r="E11" s="13" t="s">
        <v>207</v>
      </c>
      <c r="F11" s="8">
        <f t="shared" si="1"/>
        <v>8000</v>
      </c>
      <c r="J11" s="21" t="s">
        <v>76</v>
      </c>
      <c r="K11" s="22"/>
      <c r="L11" s="22"/>
      <c r="M11" s="21" t="s">
        <v>79</v>
      </c>
      <c r="P11" s="10">
        <v>0.0</v>
      </c>
      <c r="Q11" s="7">
        <v>0.0</v>
      </c>
    </row>
    <row r="12" ht="22.5" customHeight="1">
      <c r="A12" s="13" t="s">
        <v>45</v>
      </c>
      <c r="B12" s="13">
        <v>0.0</v>
      </c>
      <c r="C12" s="13"/>
      <c r="D12" s="13">
        <v>-17000.0</v>
      </c>
      <c r="E12" s="13"/>
      <c r="F12" s="8">
        <f t="shared" si="1"/>
        <v>8000</v>
      </c>
      <c r="J12" s="21" t="s">
        <v>210</v>
      </c>
      <c r="K12" s="22"/>
      <c r="L12" s="22"/>
      <c r="M12" s="21" t="s">
        <v>211</v>
      </c>
    </row>
    <row r="13" ht="22.5" customHeight="1">
      <c r="A13" s="13" t="s">
        <v>51</v>
      </c>
      <c r="B13" s="13">
        <v>-8000.0</v>
      </c>
      <c r="C13" s="13" t="s">
        <v>212</v>
      </c>
      <c r="D13" s="13">
        <v>0.0</v>
      </c>
      <c r="E13" s="13" t="s">
        <v>18</v>
      </c>
      <c r="F13" s="8">
        <f t="shared" si="1"/>
        <v>318</v>
      </c>
      <c r="J13" s="21" t="s">
        <v>47</v>
      </c>
      <c r="K13" s="21"/>
      <c r="L13" s="21"/>
      <c r="M13" s="21" t="s">
        <v>48</v>
      </c>
      <c r="U13" s="3" t="s">
        <v>60</v>
      </c>
    </row>
    <row r="14" ht="22.5" customHeight="1">
      <c r="A14" s="13" t="s">
        <v>53</v>
      </c>
      <c r="B14" s="13">
        <v>-8000.0</v>
      </c>
      <c r="C14" s="13" t="s">
        <v>213</v>
      </c>
      <c r="D14" s="13"/>
      <c r="E14" s="13" t="s">
        <v>18</v>
      </c>
      <c r="F14" s="8">
        <f t="shared" si="1"/>
        <v>500</v>
      </c>
      <c r="J14" s="21" t="s">
        <v>87</v>
      </c>
      <c r="K14" s="22"/>
      <c r="L14" s="22"/>
      <c r="M14" s="21" t="s">
        <v>92</v>
      </c>
      <c r="P14" s="23" t="s">
        <v>64</v>
      </c>
      <c r="Q14" s="6"/>
      <c r="R14" s="3" t="s">
        <v>65</v>
      </c>
      <c r="U14" s="3" t="s">
        <v>66</v>
      </c>
    </row>
    <row r="15" ht="22.5" customHeight="1">
      <c r="A15" s="13" t="s">
        <v>56</v>
      </c>
      <c r="B15" s="13">
        <v>-318.0</v>
      </c>
      <c r="C15" s="13" t="s">
        <v>18</v>
      </c>
      <c r="D15" s="1"/>
      <c r="E15" s="13"/>
      <c r="F15" s="8">
        <f t="shared" si="1"/>
        <v>3500</v>
      </c>
      <c r="G15" s="3">
        <v>100000.0</v>
      </c>
      <c r="J15" s="21" t="s">
        <v>215</v>
      </c>
      <c r="K15" s="22"/>
      <c r="L15" s="22"/>
      <c r="M15" s="21" t="s">
        <v>178</v>
      </c>
      <c r="P15" s="7" t="s">
        <v>71</v>
      </c>
      <c r="Q15" s="7" t="s">
        <v>50</v>
      </c>
      <c r="R15" s="3" t="s">
        <v>113</v>
      </c>
    </row>
    <row r="16" ht="22.5" customHeight="1">
      <c r="A16" s="13" t="s">
        <v>61</v>
      </c>
      <c r="B16" s="13">
        <v>-500.0</v>
      </c>
      <c r="C16" s="13" t="s">
        <v>18</v>
      </c>
      <c r="D16" s="13"/>
      <c r="E16" s="13"/>
      <c r="F16" s="8">
        <f t="shared" si="1"/>
        <v>30000</v>
      </c>
      <c r="J16" s="21" t="s">
        <v>94</v>
      </c>
      <c r="K16" s="22"/>
      <c r="L16" s="22"/>
      <c r="M16" s="21" t="s">
        <v>63</v>
      </c>
      <c r="P16" s="7">
        <v>418733.0</v>
      </c>
      <c r="Q16" s="7">
        <f>370233+11000</f>
        <v>381233</v>
      </c>
      <c r="R16" s="8">
        <f>P16-Q16</f>
        <v>37500</v>
      </c>
      <c r="S16" s="3" t="s">
        <v>74</v>
      </c>
      <c r="T16" s="3" t="s">
        <v>75</v>
      </c>
      <c r="U16" s="3">
        <f>460000+230000+Q16</f>
        <v>1071233</v>
      </c>
    </row>
    <row r="17" ht="22.5" customHeight="1">
      <c r="A17" s="13" t="s">
        <v>67</v>
      </c>
      <c r="B17" s="13">
        <v>-3500.0</v>
      </c>
      <c r="C17" s="13" t="s">
        <v>216</v>
      </c>
      <c r="D17" s="1"/>
      <c r="E17" s="13" t="s">
        <v>207</v>
      </c>
      <c r="J17" s="21" t="s">
        <v>52</v>
      </c>
      <c r="K17" s="21"/>
      <c r="L17" s="21"/>
      <c r="M17" s="21" t="s">
        <v>48</v>
      </c>
      <c r="U17" s="8">
        <f>P16-U16</f>
        <v>-652500</v>
      </c>
    </row>
    <row r="18" ht="22.5" customHeight="1">
      <c r="A18" s="13" t="s">
        <v>217</v>
      </c>
      <c r="B18" s="13">
        <v>-30000.0</v>
      </c>
      <c r="C18" s="13" t="s">
        <v>219</v>
      </c>
      <c r="D18" s="1"/>
      <c r="E18" s="13" t="s">
        <v>207</v>
      </c>
      <c r="J18" s="21" t="s">
        <v>115</v>
      </c>
      <c r="K18" s="22"/>
      <c r="L18" s="22"/>
      <c r="M18" s="21" t="s">
        <v>118</v>
      </c>
      <c r="P18" s="23" t="s">
        <v>81</v>
      </c>
      <c r="Q18" s="6"/>
    </row>
    <row r="19" ht="22.5" customHeight="1">
      <c r="A19" s="13" t="s">
        <v>78</v>
      </c>
      <c r="B19" s="13">
        <v>-14500.0</v>
      </c>
      <c r="C19" s="13" t="s">
        <v>220</v>
      </c>
      <c r="D19" s="1"/>
      <c r="E19" s="13" t="s">
        <v>207</v>
      </c>
      <c r="J19" s="21" t="s">
        <v>54</v>
      </c>
      <c r="K19" s="21"/>
      <c r="L19" s="21"/>
      <c r="M19" s="21" t="s">
        <v>122</v>
      </c>
      <c r="P19" s="7" t="s">
        <v>71</v>
      </c>
      <c r="Q19" s="7" t="s">
        <v>50</v>
      </c>
    </row>
    <row r="20" ht="22.5" customHeight="1">
      <c r="A20" s="13" t="s">
        <v>221</v>
      </c>
      <c r="B20" s="13">
        <f>-5000-15000</f>
        <v>-20000</v>
      </c>
      <c r="C20" s="13" t="s">
        <v>222</v>
      </c>
      <c r="D20" s="13"/>
      <c r="E20" s="13" t="s">
        <v>207</v>
      </c>
      <c r="J20" s="21" t="s">
        <v>57</v>
      </c>
      <c r="K20" s="21"/>
      <c r="L20" s="21"/>
      <c r="M20" s="21" t="s">
        <v>58</v>
      </c>
      <c r="P20" s="3">
        <v>900.0</v>
      </c>
      <c r="Q20" s="3">
        <v>900.0</v>
      </c>
    </row>
    <row r="21" ht="22.5" customHeight="1">
      <c r="A21" s="13" t="s">
        <v>124</v>
      </c>
      <c r="B21" s="13"/>
      <c r="C21" s="13" t="s">
        <v>223</v>
      </c>
      <c r="D21" s="1"/>
      <c r="E21" s="13">
        <v>10000.0</v>
      </c>
      <c r="J21" s="25" t="s">
        <v>68</v>
      </c>
      <c r="K21" s="21"/>
      <c r="L21" s="21"/>
      <c r="M21" s="21" t="s">
        <v>70</v>
      </c>
      <c r="P21" s="20"/>
      <c r="Q21" s="20"/>
      <c r="R21" s="20"/>
      <c r="S21" s="20"/>
    </row>
    <row r="22" ht="22.5" customHeight="1">
      <c r="A22" s="13" t="s">
        <v>224</v>
      </c>
      <c r="B22" s="13"/>
      <c r="C22" s="13"/>
      <c r="D22" s="13">
        <f>-190000-105000</f>
        <v>-295000</v>
      </c>
      <c r="E22" s="1"/>
      <c r="J22" s="34" t="s">
        <v>62</v>
      </c>
      <c r="K22" s="21"/>
      <c r="L22" s="21"/>
      <c r="M22" s="21" t="s">
        <v>129</v>
      </c>
      <c r="P22" s="20"/>
      <c r="Q22" s="20"/>
      <c r="R22" s="20"/>
      <c r="S22" s="20"/>
    </row>
    <row r="23" ht="22.5" customHeight="1">
      <c r="A23" s="13" t="s">
        <v>86</v>
      </c>
      <c r="B23" s="1">
        <f>SUM(B3:B22)</f>
        <v>27880</v>
      </c>
      <c r="C23" s="1"/>
      <c r="D23" s="1">
        <f>SUM(D3:D22)</f>
        <v>-301148</v>
      </c>
      <c r="E23" s="1"/>
      <c r="J23" s="21" t="s">
        <v>73</v>
      </c>
      <c r="K23" s="21"/>
      <c r="L23" s="21"/>
      <c r="M23" s="21" t="s">
        <v>131</v>
      </c>
      <c r="P23" s="23" t="s">
        <v>91</v>
      </c>
      <c r="Q23" s="6"/>
      <c r="R23" s="20"/>
      <c r="S23" s="20"/>
    </row>
    <row r="24" ht="22.5" customHeight="1">
      <c r="J24" s="21" t="s">
        <v>77</v>
      </c>
      <c r="K24" s="21"/>
      <c r="L24" s="21"/>
      <c r="M24" s="21" t="s">
        <v>131</v>
      </c>
      <c r="P24" s="7" t="s">
        <v>71</v>
      </c>
      <c r="Q24" s="7" t="s">
        <v>50</v>
      </c>
      <c r="R24" s="20" t="s">
        <v>142</v>
      </c>
      <c r="S24" s="20"/>
    </row>
    <row r="25" ht="22.5" customHeight="1">
      <c r="E25" s="3" t="s">
        <v>98</v>
      </c>
      <c r="J25" s="25" t="s">
        <v>134</v>
      </c>
      <c r="K25" s="21"/>
      <c r="L25" s="21"/>
      <c r="M25" s="21" t="s">
        <v>136</v>
      </c>
      <c r="P25" s="7">
        <f>99945-1122</f>
        <v>98823</v>
      </c>
      <c r="Q25" s="3">
        <v>97073.0</v>
      </c>
      <c r="R25" s="20" t="s">
        <v>99</v>
      </c>
      <c r="S25" s="20" t="s">
        <v>100</v>
      </c>
      <c r="T25" s="3" t="s">
        <v>226</v>
      </c>
    </row>
    <row r="26" ht="22.5" customHeight="1">
      <c r="E26" s="3" t="s">
        <v>107</v>
      </c>
      <c r="F26" s="3">
        <v>15000.0</v>
      </c>
      <c r="J26" s="25" t="s">
        <v>137</v>
      </c>
      <c r="K26" s="21"/>
      <c r="L26" s="21"/>
      <c r="M26" s="21" t="s">
        <v>131</v>
      </c>
      <c r="Q26" s="20"/>
      <c r="R26" s="20"/>
      <c r="S26" s="20"/>
    </row>
    <row r="27" ht="22.5" customHeight="1">
      <c r="E27" s="3" t="s">
        <v>109</v>
      </c>
      <c r="F27" s="3">
        <v>5000.0</v>
      </c>
      <c r="J27" s="21" t="s">
        <v>112</v>
      </c>
      <c r="K27" s="22"/>
      <c r="L27" s="22"/>
      <c r="M27" s="21" t="s">
        <v>44</v>
      </c>
      <c r="Q27" s="20"/>
      <c r="R27" s="20"/>
      <c r="S27" s="20"/>
    </row>
    <row r="28" ht="22.5" customHeight="1">
      <c r="E28" s="3" t="s">
        <v>111</v>
      </c>
      <c r="F28" s="3">
        <v>10000.0</v>
      </c>
      <c r="J28" s="25" t="s">
        <v>85</v>
      </c>
      <c r="K28" s="21"/>
      <c r="L28" s="21"/>
      <c r="M28" s="21" t="s">
        <v>131</v>
      </c>
      <c r="P28" s="23" t="s">
        <v>106</v>
      </c>
      <c r="Q28" s="6"/>
      <c r="R28" s="20" t="s">
        <v>108</v>
      </c>
      <c r="S28" s="20"/>
    </row>
    <row r="29" ht="22.5" customHeight="1">
      <c r="J29" s="25" t="s">
        <v>88</v>
      </c>
      <c r="K29" s="21"/>
      <c r="L29" s="21"/>
      <c r="M29" s="21" t="s">
        <v>131</v>
      </c>
      <c r="P29" s="7" t="s">
        <v>71</v>
      </c>
      <c r="Q29" s="7" t="s">
        <v>50</v>
      </c>
      <c r="R29" s="20"/>
      <c r="S29" s="20"/>
    </row>
    <row r="30" ht="22.5" customHeight="1">
      <c r="J30" s="21" t="s">
        <v>227</v>
      </c>
      <c r="K30" s="22"/>
      <c r="L30" s="22"/>
      <c r="M30" s="21" t="s">
        <v>228</v>
      </c>
      <c r="P30" s="7">
        <f>B2</f>
        <v>424504</v>
      </c>
      <c r="Q30" s="7">
        <f>E5</f>
        <v>201726</v>
      </c>
      <c r="R30" s="20">
        <f>P30-Q30</f>
        <v>222778</v>
      </c>
      <c r="S30" s="20" t="s">
        <v>230</v>
      </c>
      <c r="T30" s="3" t="s">
        <v>231</v>
      </c>
    </row>
    <row r="31" ht="22.5" customHeight="1">
      <c r="J31" s="21" t="s">
        <v>89</v>
      </c>
      <c r="K31" s="21"/>
      <c r="L31" s="21"/>
      <c r="M31" s="21" t="s">
        <v>33</v>
      </c>
      <c r="Q31" s="20"/>
      <c r="R31" s="20"/>
      <c r="S31" s="20"/>
    </row>
    <row r="32" ht="22.5" customHeight="1">
      <c r="J32" s="25" t="s">
        <v>90</v>
      </c>
      <c r="K32" s="21"/>
      <c r="L32" s="21"/>
      <c r="M32" s="21" t="s">
        <v>131</v>
      </c>
      <c r="P32" s="23" t="s">
        <v>117</v>
      </c>
      <c r="Q32" s="6"/>
      <c r="R32" s="20"/>
      <c r="S32" s="20"/>
    </row>
    <row r="33" ht="22.5" customHeight="1">
      <c r="J33" s="21" t="s">
        <v>93</v>
      </c>
      <c r="K33" s="21"/>
      <c r="L33" s="37"/>
      <c r="M33" s="21" t="s">
        <v>150</v>
      </c>
      <c r="P33" s="7" t="s">
        <v>71</v>
      </c>
      <c r="Q33" s="7" t="s">
        <v>50</v>
      </c>
      <c r="R33" s="20"/>
      <c r="S33" s="20"/>
    </row>
    <row r="34" ht="22.5" customHeight="1">
      <c r="J34" s="38" t="s">
        <v>97</v>
      </c>
      <c r="K34" s="21"/>
      <c r="L34" s="37"/>
      <c r="M34" s="21" t="s">
        <v>131</v>
      </c>
      <c r="P34" s="7">
        <v>20299.0</v>
      </c>
      <c r="Q34" s="7">
        <v>20425.0</v>
      </c>
      <c r="R34" s="3" t="s">
        <v>121</v>
      </c>
      <c r="S34" s="20"/>
    </row>
    <row r="35" ht="22.5" customHeight="1">
      <c r="J35" s="21" t="s">
        <v>103</v>
      </c>
      <c r="K35" s="21"/>
      <c r="L35" s="21"/>
      <c r="M35" s="21" t="s">
        <v>131</v>
      </c>
    </row>
    <row r="36" ht="22.5" customHeight="1">
      <c r="J36" s="25" t="s">
        <v>104</v>
      </c>
      <c r="K36" s="22"/>
      <c r="L36" s="37"/>
      <c r="M36" s="21" t="s">
        <v>131</v>
      </c>
      <c r="P36" s="23" t="s">
        <v>123</v>
      </c>
      <c r="Q36" s="6"/>
    </row>
    <row r="37" ht="22.5" customHeight="1">
      <c r="J37" s="22"/>
      <c r="K37" s="22"/>
      <c r="L37" s="22"/>
      <c r="M37" s="22"/>
      <c r="P37" s="7" t="s">
        <v>71</v>
      </c>
      <c r="Q37" s="7" t="s">
        <v>50</v>
      </c>
    </row>
    <row r="38">
      <c r="P38" s="7">
        <v>20000.0</v>
      </c>
      <c r="Q38" s="7">
        <v>8863.0</v>
      </c>
      <c r="S38" s="3" t="s">
        <v>236</v>
      </c>
    </row>
    <row r="40">
      <c r="P40" s="23" t="s">
        <v>130</v>
      </c>
      <c r="Q40" s="6"/>
    </row>
    <row r="41">
      <c r="P41" s="7" t="s">
        <v>71</v>
      </c>
      <c r="Q41" s="7" t="s">
        <v>50</v>
      </c>
      <c r="R41" s="3" t="s">
        <v>135</v>
      </c>
    </row>
    <row r="42">
      <c r="P42" s="7">
        <v>186772.0</v>
      </c>
      <c r="Q42" s="3">
        <v>256772.0</v>
      </c>
      <c r="R42" s="3" t="s">
        <v>138</v>
      </c>
      <c r="S42" s="3" t="s">
        <v>237</v>
      </c>
    </row>
    <row r="44">
      <c r="P44" s="23" t="s">
        <v>145</v>
      </c>
      <c r="Q44" s="6"/>
    </row>
    <row r="45">
      <c r="P45" s="7" t="s">
        <v>71</v>
      </c>
      <c r="Q45" s="7" t="s">
        <v>50</v>
      </c>
      <c r="R45" s="3" t="s">
        <v>238</v>
      </c>
    </row>
    <row r="46">
      <c r="P46" s="7">
        <v>700399.0</v>
      </c>
      <c r="Q46" s="7">
        <f>406834-108634</f>
        <v>298200</v>
      </c>
      <c r="R46" s="3" t="s">
        <v>148</v>
      </c>
      <c r="S46" s="3" t="s">
        <v>149</v>
      </c>
      <c r="T46" s="3" t="s">
        <v>239</v>
      </c>
    </row>
    <row r="48">
      <c r="J48" s="4" t="s">
        <v>119</v>
      </c>
      <c r="K48" s="5"/>
      <c r="L48" s="5"/>
      <c r="M48" s="5"/>
      <c r="N48" s="6"/>
      <c r="P48" s="23" t="s">
        <v>152</v>
      </c>
      <c r="Q48" s="6"/>
    </row>
    <row r="49">
      <c r="J49" s="9" t="s">
        <v>199</v>
      </c>
      <c r="K49" s="9" t="s">
        <v>10</v>
      </c>
      <c r="L49" s="10" t="s">
        <v>11</v>
      </c>
      <c r="M49" s="11"/>
      <c r="N49" s="11"/>
      <c r="P49" s="7" t="s">
        <v>71</v>
      </c>
      <c r="Q49" s="7" t="s">
        <v>50</v>
      </c>
    </row>
    <row r="50">
      <c r="J50" s="3">
        <f>1140871+(73277-3572)</f>
        <v>1210576</v>
      </c>
      <c r="K50" s="3">
        <f>1195772+75975</f>
        <v>1271747</v>
      </c>
      <c r="L50" s="12">
        <f>(K50-J50)/J50*100</f>
        <v>5.053049127</v>
      </c>
      <c r="M50" s="11"/>
      <c r="N50" s="11"/>
      <c r="P50" s="7">
        <v>16107.0</v>
      </c>
      <c r="Q50" s="7">
        <v>16107.0</v>
      </c>
    </row>
    <row r="51">
      <c r="J51" s="11"/>
      <c r="K51" s="11"/>
      <c r="L51" s="11"/>
      <c r="M51" s="11"/>
      <c r="N51" s="11"/>
    </row>
    <row r="52" ht="22.5" customHeight="1">
      <c r="J52" s="16" t="s">
        <v>22</v>
      </c>
      <c r="K52" s="16" t="s">
        <v>23</v>
      </c>
      <c r="L52" s="16" t="s">
        <v>24</v>
      </c>
      <c r="M52" s="16" t="s">
        <v>125</v>
      </c>
      <c r="N52" s="33" t="s">
        <v>126</v>
      </c>
      <c r="P52" s="23" t="s">
        <v>160</v>
      </c>
      <c r="Q52" s="6"/>
    </row>
    <row r="53" ht="22.5" customHeight="1">
      <c r="I53" s="40" t="s">
        <v>173</v>
      </c>
      <c r="J53" s="21" t="s">
        <v>47</v>
      </c>
      <c r="K53" s="21">
        <v>9.9</v>
      </c>
      <c r="L53" s="21">
        <v>4999.0</v>
      </c>
      <c r="M53" s="21" t="s">
        <v>174</v>
      </c>
      <c r="N53" s="35"/>
      <c r="P53" s="7" t="s">
        <v>71</v>
      </c>
      <c r="Q53" s="7" t="s">
        <v>50</v>
      </c>
    </row>
    <row r="54" ht="22.5" customHeight="1">
      <c r="J54" s="21" t="s">
        <v>52</v>
      </c>
      <c r="K54" s="21">
        <v>140.0</v>
      </c>
      <c r="L54" s="21">
        <v>4999.0</v>
      </c>
      <c r="M54" s="21" t="s">
        <v>174</v>
      </c>
      <c r="N54" s="35"/>
      <c r="P54" s="7">
        <v>4317.0</v>
      </c>
      <c r="Q54" s="7">
        <v>2007.0</v>
      </c>
    </row>
    <row r="55" ht="22.5" customHeight="1">
      <c r="J55" s="25" t="s">
        <v>88</v>
      </c>
      <c r="K55" s="21">
        <v>1310.3</v>
      </c>
      <c r="L55" s="21">
        <v>22998.0</v>
      </c>
      <c r="M55" s="21" t="s">
        <v>179</v>
      </c>
      <c r="N55" s="36"/>
      <c r="S55" s="26"/>
      <c r="T55" s="7" t="s">
        <v>181</v>
      </c>
    </row>
    <row r="56" ht="22.5" customHeight="1">
      <c r="J56" s="25" t="s">
        <v>90</v>
      </c>
      <c r="K56" s="21">
        <v>188.4</v>
      </c>
      <c r="L56" s="21">
        <v>14499.0</v>
      </c>
      <c r="M56" s="21" t="s">
        <v>179</v>
      </c>
      <c r="S56" s="7" t="s">
        <v>184</v>
      </c>
      <c r="T56" s="7">
        <v>25821.98</v>
      </c>
    </row>
    <row r="57" ht="22.5" customHeight="1">
      <c r="J57" s="21" t="s">
        <v>141</v>
      </c>
      <c r="K57" s="21">
        <v>398.9</v>
      </c>
      <c r="L57" s="21">
        <v>5999.0</v>
      </c>
      <c r="M57" s="21" t="s">
        <v>69</v>
      </c>
      <c r="S57" s="7" t="s">
        <v>187</v>
      </c>
      <c r="T57" s="7">
        <v>20000.0</v>
      </c>
    </row>
    <row r="58" ht="22.5" customHeight="1">
      <c r="J58" s="21" t="s">
        <v>188</v>
      </c>
      <c r="K58" s="21">
        <v>4.0</v>
      </c>
      <c r="L58" s="21">
        <v>16208.0</v>
      </c>
      <c r="M58" s="21" t="s">
        <v>179</v>
      </c>
      <c r="S58" s="7" t="s">
        <v>190</v>
      </c>
      <c r="T58" s="7">
        <v>74652.0</v>
      </c>
    </row>
    <row r="59" ht="22.5" customHeight="1">
      <c r="J59" s="21" t="s">
        <v>146</v>
      </c>
      <c r="K59" s="21">
        <v>15.0</v>
      </c>
      <c r="L59" s="21">
        <v>202298.0</v>
      </c>
      <c r="M59" s="21" t="s">
        <v>44</v>
      </c>
      <c r="T59" s="8">
        <f>T58-T56-T57</f>
        <v>28830.02</v>
      </c>
    </row>
    <row r="60" ht="22.5" customHeight="1">
      <c r="J60" s="25" t="s">
        <v>88</v>
      </c>
      <c r="K60" s="21"/>
      <c r="L60" s="21"/>
      <c r="M60" s="21" t="s">
        <v>179</v>
      </c>
    </row>
    <row r="61" ht="22.5" customHeight="1">
      <c r="J61" s="21" t="s">
        <v>57</v>
      </c>
      <c r="K61" s="21"/>
      <c r="L61" s="21"/>
      <c r="M61" s="21" t="s">
        <v>193</v>
      </c>
    </row>
    <row r="62" ht="22.5" customHeight="1">
      <c r="J62" s="25" t="s">
        <v>90</v>
      </c>
      <c r="K62" s="21"/>
      <c r="L62" s="21"/>
      <c r="M62" s="21" t="s">
        <v>179</v>
      </c>
    </row>
    <row r="63" ht="22.5" customHeight="1">
      <c r="I63" s="40" t="s">
        <v>194</v>
      </c>
      <c r="J63" s="21" t="s">
        <v>154</v>
      </c>
      <c r="K63" s="21"/>
      <c r="L63" s="21">
        <v>15799.0</v>
      </c>
      <c r="M63" s="21" t="s">
        <v>155</v>
      </c>
    </row>
    <row r="64" ht="22.5" customHeight="1">
      <c r="J64" s="21" t="s">
        <v>39</v>
      </c>
      <c r="K64" s="22"/>
      <c r="L64" s="21">
        <v>29998.0</v>
      </c>
      <c r="M64" s="21" t="s">
        <v>44</v>
      </c>
    </row>
    <row r="65" ht="22.5" customHeight="1">
      <c r="J65" s="21" t="s">
        <v>46</v>
      </c>
      <c r="K65" s="22"/>
      <c r="L65" s="21">
        <v>36098.0</v>
      </c>
      <c r="M65" s="21" t="s">
        <v>44</v>
      </c>
    </row>
    <row r="66" ht="22.5" customHeight="1">
      <c r="J66" s="21" t="s">
        <v>166</v>
      </c>
      <c r="K66" s="21"/>
      <c r="L66" s="21">
        <v>24320.0</v>
      </c>
      <c r="M66" s="21" t="s">
        <v>167</v>
      </c>
    </row>
    <row r="67" ht="22.5" customHeight="1">
      <c r="J67" s="21" t="s">
        <v>42</v>
      </c>
      <c r="K67" s="21"/>
      <c r="L67" s="21">
        <v>61096.0</v>
      </c>
      <c r="M67" s="21" t="s">
        <v>44</v>
      </c>
      <c r="N67" s="36" t="s">
        <v>163</v>
      </c>
    </row>
    <row r="68" ht="22.5" customHeight="1">
      <c r="J68" s="21" t="s">
        <v>76</v>
      </c>
      <c r="K68" s="22"/>
      <c r="L68" s="21">
        <v>160991.0</v>
      </c>
      <c r="M68" s="21" t="s">
        <v>44</v>
      </c>
    </row>
    <row r="69" ht="22.5" customHeight="1">
      <c r="J69" s="21" t="s">
        <v>87</v>
      </c>
      <c r="K69" s="21"/>
      <c r="L69" s="21">
        <v>64996.0</v>
      </c>
      <c r="M69" s="21" t="s">
        <v>158</v>
      </c>
    </row>
    <row r="70" ht="22.5" customHeight="1">
      <c r="J70" s="21" t="s">
        <v>195</v>
      </c>
      <c r="K70" s="34"/>
      <c r="L70" s="34">
        <v>14999.0</v>
      </c>
      <c r="M70" s="34" t="s">
        <v>196</v>
      </c>
    </row>
    <row r="71" ht="22.5" customHeight="1">
      <c r="J71" s="21" t="s">
        <v>94</v>
      </c>
      <c r="K71" s="22"/>
      <c r="L71" s="21">
        <v>30698.0</v>
      </c>
      <c r="M71" s="21" t="s">
        <v>169</v>
      </c>
    </row>
    <row r="72" ht="22.5" customHeight="1">
      <c r="J72" s="21" t="s">
        <v>57</v>
      </c>
      <c r="K72" s="21"/>
      <c r="L72" s="21">
        <v>70996.0</v>
      </c>
      <c r="M72" s="21" t="s">
        <v>151</v>
      </c>
    </row>
    <row r="73" ht="22.5" customHeight="1">
      <c r="J73" s="21" t="s">
        <v>112</v>
      </c>
      <c r="K73" s="22"/>
      <c r="L73" s="22"/>
      <c r="M73" s="21" t="s">
        <v>211</v>
      </c>
    </row>
    <row r="74" ht="22.5" customHeight="1">
      <c r="J74" s="21" t="s">
        <v>170</v>
      </c>
      <c r="K74" s="21"/>
      <c r="L74" s="21">
        <v>4999.0</v>
      </c>
      <c r="M74" s="21" t="s">
        <v>69</v>
      </c>
      <c r="N74" s="42"/>
    </row>
    <row r="75" ht="22.5" customHeight="1">
      <c r="J75" s="25" t="s">
        <v>88</v>
      </c>
      <c r="K75" s="22"/>
      <c r="L75" s="21">
        <v>96995.0</v>
      </c>
      <c r="M75" s="21" t="s">
        <v>44</v>
      </c>
      <c r="N75" s="42"/>
    </row>
    <row r="76" ht="22.5" customHeight="1">
      <c r="J76" s="25" t="s">
        <v>90</v>
      </c>
      <c r="K76" s="22"/>
      <c r="L76" s="21">
        <v>69996.0</v>
      </c>
      <c r="M76" s="21" t="s">
        <v>179</v>
      </c>
      <c r="N76" s="42"/>
    </row>
    <row r="83">
      <c r="J83" s="9" t="s">
        <v>199</v>
      </c>
      <c r="K83" s="9" t="s">
        <v>10</v>
      </c>
      <c r="L83" s="10" t="s">
        <v>11</v>
      </c>
    </row>
    <row r="84">
      <c r="J84" s="3">
        <v>783061.0</v>
      </c>
      <c r="K84" s="3">
        <v>970859.0</v>
      </c>
      <c r="L84" s="12">
        <f>(K84-J84)/J84*100</f>
        <v>23.98255053</v>
      </c>
    </row>
    <row r="87">
      <c r="J87" s="43" t="s">
        <v>22</v>
      </c>
      <c r="K87" s="43" t="s">
        <v>23</v>
      </c>
      <c r="L87" s="43" t="s">
        <v>24</v>
      </c>
      <c r="M87" s="43" t="s">
        <v>125</v>
      </c>
    </row>
    <row r="88">
      <c r="J88" s="27" t="s">
        <v>175</v>
      </c>
      <c r="K88" s="27"/>
      <c r="L88" s="27">
        <v>31398.0</v>
      </c>
      <c r="M88" s="27" t="s">
        <v>176</v>
      </c>
    </row>
    <row r="89">
      <c r="J89" s="27" t="s">
        <v>183</v>
      </c>
      <c r="K89" s="27"/>
      <c r="L89" s="27">
        <v>140993.0</v>
      </c>
      <c r="M89" s="27" t="s">
        <v>185</v>
      </c>
    </row>
    <row r="90">
      <c r="J90" s="7" t="s">
        <v>191</v>
      </c>
      <c r="K90" s="7"/>
      <c r="L90" s="7">
        <v>15999.0</v>
      </c>
      <c r="M90" s="7" t="s">
        <v>192</v>
      </c>
    </row>
  </sheetData>
  <mergeCells count="14">
    <mergeCell ref="P32:Q32"/>
    <mergeCell ref="P36:Q36"/>
    <mergeCell ref="P40:Q40"/>
    <mergeCell ref="P44:Q44"/>
    <mergeCell ref="J48:N48"/>
    <mergeCell ref="P48:Q48"/>
    <mergeCell ref="P52:Q52"/>
    <mergeCell ref="J1:N1"/>
    <mergeCell ref="T2:T7"/>
    <mergeCell ref="P9:Q9"/>
    <mergeCell ref="P14:Q14"/>
    <mergeCell ref="P18:Q18"/>
    <mergeCell ref="P23:Q23"/>
    <mergeCell ref="P28:Q28"/>
  </mergeCell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6.13"/>
    <col customWidth="1" min="4" max="4" width="12.63"/>
    <col customWidth="1" min="5" max="5" width="25.88"/>
    <col customWidth="1" min="10" max="10" width="34.25"/>
    <col customWidth="1" min="12" max="12" width="19.13"/>
    <col customWidth="1" min="13" max="13" width="37.13"/>
    <col customWidth="1" min="16" max="16" width="26.75"/>
    <col customWidth="1" min="17" max="17" width="13.0"/>
    <col customWidth="1" min="21" max="21" width="42.88"/>
  </cols>
  <sheetData>
    <row r="1">
      <c r="A1" s="1"/>
      <c r="B1" s="2" t="s">
        <v>0</v>
      </c>
      <c r="C1" s="2" t="s">
        <v>197</v>
      </c>
      <c r="D1" s="2" t="s">
        <v>1</v>
      </c>
      <c r="E1" s="2" t="s">
        <v>2</v>
      </c>
      <c r="G1" s="3" t="s">
        <v>3</v>
      </c>
      <c r="H1" s="3" t="s">
        <v>4</v>
      </c>
      <c r="J1" s="4" t="s">
        <v>5</v>
      </c>
      <c r="K1" s="5"/>
      <c r="L1" s="5"/>
      <c r="M1" s="5"/>
      <c r="N1" s="6"/>
    </row>
    <row r="2">
      <c r="A2" s="1"/>
      <c r="B2" s="13">
        <f>'June-2026'!Q30+B3</f>
        <v>424734</v>
      </c>
      <c r="C2" s="13"/>
      <c r="D2" s="13">
        <f>298200+D3</f>
        <v>406834</v>
      </c>
      <c r="E2" s="26"/>
      <c r="F2" s="8">
        <f>B2-B3</f>
        <v>201726</v>
      </c>
      <c r="J2" s="9" t="s">
        <v>205</v>
      </c>
      <c r="K2" s="9" t="s">
        <v>10</v>
      </c>
      <c r="L2" s="10" t="s">
        <v>11</v>
      </c>
      <c r="M2" s="11"/>
      <c r="N2" s="11"/>
      <c r="T2" s="3" t="s">
        <v>12</v>
      </c>
      <c r="U2" s="3" t="s">
        <v>13</v>
      </c>
    </row>
    <row r="3">
      <c r="A3" s="2" t="s">
        <v>14</v>
      </c>
      <c r="B3" s="13">
        <v>223008.0</v>
      </c>
      <c r="C3" s="2"/>
      <c r="D3" s="2">
        <v>108634.0</v>
      </c>
      <c r="E3" s="2"/>
      <c r="F3" s="3">
        <v>53726.0</v>
      </c>
      <c r="H3" s="8">
        <f>-(B4+B8+B9+B10+B11+B14+D12+D10+D4)</f>
        <v>74500</v>
      </c>
      <c r="J3" s="20">
        <v>5780754.0</v>
      </c>
      <c r="K3" s="20">
        <v>7750824.0</v>
      </c>
      <c r="L3" s="12">
        <f>(K3-J3)/J3*100</f>
        <v>34.07981035</v>
      </c>
      <c r="M3" s="11"/>
      <c r="N3" s="11"/>
      <c r="U3" s="3" t="s">
        <v>16</v>
      </c>
      <c r="V3" s="3" t="s">
        <v>200</v>
      </c>
    </row>
    <row r="4">
      <c r="A4" s="13" t="s">
        <v>17</v>
      </c>
      <c r="B4" s="13">
        <v>-10000.0</v>
      </c>
      <c r="C4" s="13"/>
      <c r="D4" s="13"/>
      <c r="E4" s="26">
        <f>B20+B19+B18+B17+B11+B9+B7</f>
        <v>-141000</v>
      </c>
      <c r="F4" s="8">
        <f>-(B4)-D4</f>
        <v>10000</v>
      </c>
      <c r="M4" s="11"/>
      <c r="N4" s="11"/>
      <c r="U4" s="3" t="s">
        <v>20</v>
      </c>
    </row>
    <row r="5" ht="22.5" customHeight="1">
      <c r="A5" s="13" t="s">
        <v>201</v>
      </c>
      <c r="B5" s="13">
        <v>-2500.0</v>
      </c>
      <c r="C5" s="13"/>
      <c r="D5" s="1"/>
      <c r="E5" s="1">
        <f>338666-220508-10000-2500+318-12500+30000</f>
        <v>123476</v>
      </c>
      <c r="F5" s="8">
        <f t="shared" ref="F5:F16" si="1">-(B7)-D7</f>
        <v>154000</v>
      </c>
      <c r="J5" s="16" t="s">
        <v>22</v>
      </c>
      <c r="K5" s="16" t="s">
        <v>23</v>
      </c>
      <c r="L5" s="16" t="s">
        <v>24</v>
      </c>
      <c r="M5" s="17" t="s">
        <v>28</v>
      </c>
      <c r="N5" s="11"/>
      <c r="U5" s="3" t="s">
        <v>25</v>
      </c>
    </row>
    <row r="6" ht="22.5" customHeight="1">
      <c r="A6" s="13" t="s">
        <v>202</v>
      </c>
      <c r="B6" s="13">
        <v>-2500.0</v>
      </c>
      <c r="C6" s="13"/>
      <c r="D6" s="1"/>
      <c r="E6" s="13" t="s">
        <v>18</v>
      </c>
      <c r="F6" s="8">
        <f t="shared" si="1"/>
        <v>27500</v>
      </c>
      <c r="G6" s="8">
        <f>5000+3000</f>
        <v>8000</v>
      </c>
      <c r="J6" s="21" t="s">
        <v>39</v>
      </c>
      <c r="K6" s="22"/>
      <c r="L6" s="22"/>
      <c r="M6" s="21" t="s">
        <v>44</v>
      </c>
      <c r="N6" s="11"/>
      <c r="U6" s="3" t="s">
        <v>29</v>
      </c>
    </row>
    <row r="7" ht="22.5" customHeight="1">
      <c r="A7" s="13" t="s">
        <v>21</v>
      </c>
      <c r="B7" s="13">
        <f>-81000</f>
        <v>-81000</v>
      </c>
      <c r="C7" s="13"/>
      <c r="D7" s="13">
        <v>-73000.0</v>
      </c>
      <c r="E7" s="13">
        <f>46500+79500</f>
        <v>126000</v>
      </c>
      <c r="F7" s="8">
        <f t="shared" si="1"/>
        <v>0</v>
      </c>
      <c r="J7" s="21" t="s">
        <v>46</v>
      </c>
      <c r="K7" s="21"/>
      <c r="L7" s="21"/>
      <c r="M7" s="21" t="s">
        <v>44</v>
      </c>
      <c r="N7" s="11"/>
      <c r="V7" s="3" t="s">
        <v>35</v>
      </c>
    </row>
    <row r="8" ht="22.5" customHeight="1">
      <c r="A8" s="13" t="s">
        <v>26</v>
      </c>
      <c r="B8" s="13">
        <v>-27500.0</v>
      </c>
      <c r="C8" s="13" t="s">
        <v>204</v>
      </c>
      <c r="D8" s="13"/>
      <c r="E8" s="13"/>
      <c r="F8" s="8">
        <f t="shared" si="1"/>
        <v>5000</v>
      </c>
      <c r="J8" s="25" t="s">
        <v>31</v>
      </c>
      <c r="K8" s="21"/>
      <c r="L8" s="21"/>
      <c r="M8" s="21" t="s">
        <v>59</v>
      </c>
      <c r="N8" s="20"/>
      <c r="U8" s="3" t="s">
        <v>40</v>
      </c>
    </row>
    <row r="9" ht="22.5" customHeight="1">
      <c r="A9" s="13" t="s">
        <v>30</v>
      </c>
      <c r="B9" s="13"/>
      <c r="C9" s="13" t="s">
        <v>206</v>
      </c>
      <c r="D9" s="13"/>
      <c r="E9" s="13" t="s">
        <v>207</v>
      </c>
      <c r="F9" s="8">
        <f t="shared" si="1"/>
        <v>8000</v>
      </c>
      <c r="J9" s="21" t="s">
        <v>38</v>
      </c>
      <c r="K9" s="21"/>
      <c r="L9" s="21"/>
      <c r="M9" s="21" t="s">
        <v>69</v>
      </c>
      <c r="P9" s="23" t="s">
        <v>43</v>
      </c>
      <c r="Q9" s="6"/>
    </row>
    <row r="10" ht="22.5" customHeight="1">
      <c r="A10" s="13" t="s">
        <v>36</v>
      </c>
      <c r="B10" s="13"/>
      <c r="C10" s="13"/>
      <c r="D10" s="13">
        <v>-5000.0</v>
      </c>
      <c r="E10" s="13"/>
      <c r="F10" s="8">
        <f t="shared" si="1"/>
        <v>17000</v>
      </c>
      <c r="J10" s="21" t="s">
        <v>42</v>
      </c>
      <c r="K10" s="21"/>
      <c r="L10" s="21"/>
      <c r="M10" s="21" t="s">
        <v>44</v>
      </c>
      <c r="P10" s="7" t="s">
        <v>49</v>
      </c>
      <c r="Q10" s="7" t="s">
        <v>50</v>
      </c>
    </row>
    <row r="11" ht="22.5" customHeight="1">
      <c r="A11" s="13" t="s">
        <v>41</v>
      </c>
      <c r="B11" s="13">
        <v>-7000.0</v>
      </c>
      <c r="C11" s="13" t="s">
        <v>209</v>
      </c>
      <c r="D11" s="13">
        <v>-1000.0</v>
      </c>
      <c r="E11" s="13" t="s">
        <v>207</v>
      </c>
      <c r="F11" s="8">
        <f t="shared" si="1"/>
        <v>18000</v>
      </c>
      <c r="J11" s="21" t="s">
        <v>76</v>
      </c>
      <c r="K11" s="22"/>
      <c r="L11" s="22"/>
      <c r="M11" s="21" t="s">
        <v>79</v>
      </c>
      <c r="P11" s="10">
        <v>0.0</v>
      </c>
      <c r="Q11" s="7">
        <v>0.0</v>
      </c>
    </row>
    <row r="12" ht="22.5" customHeight="1">
      <c r="A12" s="13" t="s">
        <v>45</v>
      </c>
      <c r="B12" s="13">
        <v>0.0</v>
      </c>
      <c r="C12" s="13"/>
      <c r="D12" s="13">
        <v>-17000.0</v>
      </c>
      <c r="E12" s="13"/>
      <c r="F12" s="8">
        <f t="shared" si="1"/>
        <v>8000</v>
      </c>
      <c r="J12" s="21" t="s">
        <v>210</v>
      </c>
      <c r="K12" s="22"/>
      <c r="L12" s="22"/>
      <c r="M12" s="21" t="s">
        <v>211</v>
      </c>
    </row>
    <row r="13" ht="22.5" customHeight="1">
      <c r="A13" s="13" t="s">
        <v>51</v>
      </c>
      <c r="B13" s="13">
        <v>-8000.0</v>
      </c>
      <c r="C13" s="13" t="s">
        <v>212</v>
      </c>
      <c r="D13" s="13">
        <v>-10000.0</v>
      </c>
      <c r="E13" s="13" t="s">
        <v>18</v>
      </c>
      <c r="F13" s="8">
        <f t="shared" si="1"/>
        <v>318</v>
      </c>
      <c r="J13" s="21" t="s">
        <v>47</v>
      </c>
      <c r="K13" s="21"/>
      <c r="L13" s="21"/>
      <c r="M13" s="21" t="s">
        <v>48</v>
      </c>
      <c r="U13" s="3" t="s">
        <v>60</v>
      </c>
    </row>
    <row r="14" ht="22.5" customHeight="1">
      <c r="A14" s="13" t="s">
        <v>53</v>
      </c>
      <c r="B14" s="13">
        <v>-8000.0</v>
      </c>
      <c r="C14" s="13" t="s">
        <v>213</v>
      </c>
      <c r="D14" s="13"/>
      <c r="E14" s="13" t="s">
        <v>18</v>
      </c>
      <c r="F14" s="8">
        <f t="shared" si="1"/>
        <v>500</v>
      </c>
      <c r="J14" s="21" t="s">
        <v>87</v>
      </c>
      <c r="K14" s="22"/>
      <c r="L14" s="22"/>
      <c r="M14" s="21" t="s">
        <v>92</v>
      </c>
      <c r="P14" s="23" t="s">
        <v>64</v>
      </c>
      <c r="Q14" s="6"/>
      <c r="R14" s="3" t="s">
        <v>65</v>
      </c>
      <c r="U14" s="3" t="s">
        <v>66</v>
      </c>
    </row>
    <row r="15" ht="22.5" customHeight="1">
      <c r="A15" s="13" t="s">
        <v>56</v>
      </c>
      <c r="B15" s="13">
        <v>-318.0</v>
      </c>
      <c r="C15" s="13" t="s">
        <v>18</v>
      </c>
      <c r="D15" s="1"/>
      <c r="E15" s="13"/>
      <c r="F15" s="8">
        <f t="shared" si="1"/>
        <v>3000</v>
      </c>
      <c r="G15" s="3">
        <v>100000.0</v>
      </c>
      <c r="J15" s="21" t="s">
        <v>215</v>
      </c>
      <c r="K15" s="22"/>
      <c r="L15" s="22"/>
      <c r="M15" s="21" t="s">
        <v>178</v>
      </c>
      <c r="P15" s="7" t="s">
        <v>71</v>
      </c>
      <c r="Q15" s="7" t="s">
        <v>50</v>
      </c>
      <c r="R15" s="3" t="s">
        <v>113</v>
      </c>
    </row>
    <row r="16" ht="22.5" customHeight="1">
      <c r="A16" s="13" t="s">
        <v>61</v>
      </c>
      <c r="B16" s="13">
        <v>-500.0</v>
      </c>
      <c r="C16" s="13" t="s">
        <v>18</v>
      </c>
      <c r="D16" s="13"/>
      <c r="E16" s="13"/>
      <c r="F16" s="8">
        <f t="shared" si="1"/>
        <v>30000</v>
      </c>
      <c r="J16" s="21" t="s">
        <v>94</v>
      </c>
      <c r="K16" s="22"/>
      <c r="L16" s="22"/>
      <c r="M16" s="21" t="s">
        <v>63</v>
      </c>
      <c r="P16" s="7">
        <v>418733.0</v>
      </c>
      <c r="Q16" s="7">
        <f>111168+350000</f>
        <v>461168</v>
      </c>
      <c r="R16" s="8">
        <f>P16-Q16</f>
        <v>-42435</v>
      </c>
      <c r="S16" s="3" t="s">
        <v>74</v>
      </c>
      <c r="T16" s="3" t="s">
        <v>75</v>
      </c>
      <c r="U16" s="3">
        <f>460000+230000+Q16</f>
        <v>1151168</v>
      </c>
    </row>
    <row r="17" ht="22.5" customHeight="1">
      <c r="A17" s="13" t="s">
        <v>67</v>
      </c>
      <c r="B17" s="13">
        <v>-3000.0</v>
      </c>
      <c r="C17" s="13" t="s">
        <v>216</v>
      </c>
      <c r="D17" s="1"/>
      <c r="E17" s="13" t="s">
        <v>207</v>
      </c>
      <c r="J17" s="21" t="s">
        <v>52</v>
      </c>
      <c r="K17" s="21"/>
      <c r="L17" s="21"/>
      <c r="M17" s="21" t="s">
        <v>48</v>
      </c>
      <c r="U17" s="8">
        <f>P16-U16</f>
        <v>-732435</v>
      </c>
    </row>
    <row r="18" ht="22.5" customHeight="1">
      <c r="A18" s="13" t="s">
        <v>217</v>
      </c>
      <c r="B18" s="13">
        <v>-30000.0</v>
      </c>
      <c r="C18" s="13" t="s">
        <v>219</v>
      </c>
      <c r="D18" s="1"/>
      <c r="E18" s="13" t="s">
        <v>207</v>
      </c>
      <c r="J18" s="21" t="s">
        <v>115</v>
      </c>
      <c r="K18" s="22"/>
      <c r="L18" s="22"/>
      <c r="M18" s="21" t="s">
        <v>118</v>
      </c>
      <c r="P18" s="23" t="s">
        <v>81</v>
      </c>
      <c r="Q18" s="6"/>
    </row>
    <row r="19" ht="22.5" customHeight="1">
      <c r="A19" s="13" t="s">
        <v>78</v>
      </c>
      <c r="B19" s="13"/>
      <c r="C19" s="13" t="s">
        <v>220</v>
      </c>
      <c r="D19" s="1"/>
      <c r="E19" s="13" t="s">
        <v>207</v>
      </c>
      <c r="J19" s="21" t="s">
        <v>54</v>
      </c>
      <c r="K19" s="21"/>
      <c r="L19" s="21"/>
      <c r="M19" s="21" t="s">
        <v>122</v>
      </c>
      <c r="P19" s="7" t="s">
        <v>71</v>
      </c>
      <c r="Q19" s="7" t="s">
        <v>50</v>
      </c>
    </row>
    <row r="20" ht="22.5" customHeight="1">
      <c r="A20" s="13" t="s">
        <v>221</v>
      </c>
      <c r="B20" s="13">
        <f>-5000-15000</f>
        <v>-20000</v>
      </c>
      <c r="C20" s="13" t="s">
        <v>222</v>
      </c>
      <c r="D20" s="13"/>
      <c r="E20" s="13" t="s">
        <v>207</v>
      </c>
      <c r="J20" s="21" t="s">
        <v>57</v>
      </c>
      <c r="K20" s="21"/>
      <c r="L20" s="21"/>
      <c r="M20" s="21" t="s">
        <v>58</v>
      </c>
      <c r="P20" s="3">
        <v>900.0</v>
      </c>
      <c r="Q20" s="3">
        <v>900.0</v>
      </c>
    </row>
    <row r="21" ht="22.5" customHeight="1">
      <c r="A21" s="13" t="s">
        <v>124</v>
      </c>
      <c r="B21" s="13"/>
      <c r="C21" s="13" t="s">
        <v>223</v>
      </c>
      <c r="D21" s="1"/>
      <c r="E21" s="13">
        <v>10000.0</v>
      </c>
      <c r="J21" s="25" t="s">
        <v>68</v>
      </c>
      <c r="K21" s="21"/>
      <c r="L21" s="21"/>
      <c r="M21" s="21" t="s">
        <v>70</v>
      </c>
      <c r="P21" s="20"/>
      <c r="Q21" s="20"/>
      <c r="R21" s="20"/>
      <c r="S21" s="20"/>
    </row>
    <row r="22" ht="22.5" customHeight="1">
      <c r="A22" s="13" t="s">
        <v>229</v>
      </c>
      <c r="B22" s="13">
        <v>-30940.0</v>
      </c>
      <c r="C22" s="13"/>
      <c r="D22" s="13"/>
      <c r="E22" s="1"/>
      <c r="J22" s="34" t="s">
        <v>62</v>
      </c>
      <c r="K22" s="21"/>
      <c r="L22" s="21"/>
      <c r="M22" s="21" t="s">
        <v>129</v>
      </c>
      <c r="P22" s="20"/>
      <c r="Q22" s="20"/>
      <c r="R22" s="20"/>
      <c r="S22" s="20"/>
    </row>
    <row r="23" ht="22.5" customHeight="1">
      <c r="A23" s="13" t="s">
        <v>86</v>
      </c>
      <c r="B23" s="1">
        <f>SUM(B3:B22)</f>
        <v>-8250</v>
      </c>
      <c r="C23" s="1"/>
      <c r="D23" s="1">
        <f>SUM(D3:D22)</f>
        <v>2634</v>
      </c>
      <c r="E23" s="1"/>
      <c r="J23" s="21" t="s">
        <v>73</v>
      </c>
      <c r="K23" s="21"/>
      <c r="L23" s="21"/>
      <c r="M23" s="21" t="s">
        <v>131</v>
      </c>
      <c r="P23" s="23" t="s">
        <v>91</v>
      </c>
      <c r="Q23" s="6"/>
      <c r="R23" s="20"/>
      <c r="S23" s="20"/>
    </row>
    <row r="24" ht="22.5" customHeight="1">
      <c r="J24" s="21" t="s">
        <v>77</v>
      </c>
      <c r="K24" s="21"/>
      <c r="L24" s="21"/>
      <c r="M24" s="21" t="s">
        <v>131</v>
      </c>
      <c r="P24" s="7" t="s">
        <v>71</v>
      </c>
      <c r="Q24" s="7" t="s">
        <v>50</v>
      </c>
      <c r="R24" s="20" t="s">
        <v>233</v>
      </c>
      <c r="S24" s="20"/>
    </row>
    <row r="25" ht="22.5" customHeight="1">
      <c r="J25" s="25" t="s">
        <v>134</v>
      </c>
      <c r="K25" s="21"/>
      <c r="L25" s="21"/>
      <c r="M25" s="21" t="s">
        <v>136</v>
      </c>
      <c r="P25" s="7">
        <f>99945-1122</f>
        <v>98823</v>
      </c>
      <c r="Q25" s="3">
        <v>153903.0</v>
      </c>
      <c r="R25" s="20" t="s">
        <v>99</v>
      </c>
      <c r="S25" s="20" t="s">
        <v>100</v>
      </c>
      <c r="T25" s="3" t="s">
        <v>234</v>
      </c>
    </row>
    <row r="26" ht="22.5" customHeight="1">
      <c r="J26" s="25" t="s">
        <v>137</v>
      </c>
      <c r="K26" s="21"/>
      <c r="L26" s="21"/>
      <c r="M26" s="21" t="s">
        <v>131</v>
      </c>
      <c r="Q26" s="20"/>
      <c r="R26" s="20"/>
      <c r="S26" s="20"/>
    </row>
    <row r="27" ht="22.5" customHeight="1">
      <c r="J27" s="21" t="s">
        <v>112</v>
      </c>
      <c r="K27" s="22"/>
      <c r="L27" s="22"/>
      <c r="M27" s="21" t="s">
        <v>44</v>
      </c>
      <c r="Q27" s="20"/>
      <c r="R27" s="20"/>
      <c r="S27" s="20"/>
    </row>
    <row r="28" ht="22.5" customHeight="1">
      <c r="J28" s="25" t="s">
        <v>85</v>
      </c>
      <c r="K28" s="21"/>
      <c r="L28" s="21"/>
      <c r="M28" s="21" t="s">
        <v>131</v>
      </c>
      <c r="P28" s="23" t="s">
        <v>106</v>
      </c>
      <c r="Q28" s="6"/>
      <c r="R28" s="20" t="s">
        <v>108</v>
      </c>
      <c r="S28" s="20"/>
    </row>
    <row r="29" ht="22.5" customHeight="1">
      <c r="J29" s="25" t="s">
        <v>88</v>
      </c>
      <c r="K29" s="21"/>
      <c r="L29" s="21"/>
      <c r="M29" s="21" t="s">
        <v>131</v>
      </c>
      <c r="P29" s="7" t="s">
        <v>71</v>
      </c>
      <c r="Q29" s="7" t="s">
        <v>50</v>
      </c>
      <c r="R29" s="20"/>
      <c r="S29" s="20"/>
    </row>
    <row r="30" ht="22.5" customHeight="1">
      <c r="J30" s="21" t="s">
        <v>227</v>
      </c>
      <c r="K30" s="22"/>
      <c r="L30" s="22"/>
      <c r="M30" s="21" t="s">
        <v>228</v>
      </c>
      <c r="P30" s="7">
        <f>B2</f>
        <v>424734</v>
      </c>
      <c r="Q30" s="7">
        <f>E5</f>
        <v>123476</v>
      </c>
      <c r="R30" s="20">
        <f>P30-Q30</f>
        <v>301258</v>
      </c>
      <c r="S30" s="20" t="s">
        <v>230</v>
      </c>
      <c r="T30" s="3" t="s">
        <v>240</v>
      </c>
    </row>
    <row r="31" ht="22.5" customHeight="1">
      <c r="J31" s="21" t="s">
        <v>89</v>
      </c>
      <c r="K31" s="21"/>
      <c r="L31" s="21"/>
      <c r="M31" s="21" t="s">
        <v>33</v>
      </c>
      <c r="Q31" s="20"/>
      <c r="R31" s="20"/>
      <c r="S31" s="20"/>
    </row>
    <row r="32" ht="22.5" customHeight="1">
      <c r="J32" s="25" t="s">
        <v>90</v>
      </c>
      <c r="K32" s="21"/>
      <c r="L32" s="21"/>
      <c r="M32" s="21" t="s">
        <v>131</v>
      </c>
      <c r="P32" s="23" t="s">
        <v>117</v>
      </c>
      <c r="Q32" s="6"/>
      <c r="R32" s="20"/>
      <c r="S32" s="20"/>
    </row>
    <row r="33" ht="22.5" customHeight="1">
      <c r="J33" s="21" t="s">
        <v>93</v>
      </c>
      <c r="K33" s="21"/>
      <c r="L33" s="37"/>
      <c r="M33" s="21" t="s">
        <v>150</v>
      </c>
      <c r="P33" s="7" t="s">
        <v>71</v>
      </c>
      <c r="Q33" s="7" t="s">
        <v>50</v>
      </c>
      <c r="R33" s="20"/>
      <c r="S33" s="20"/>
    </row>
    <row r="34" ht="22.5" customHeight="1">
      <c r="J34" s="38" t="s">
        <v>97</v>
      </c>
      <c r="K34" s="21"/>
      <c r="L34" s="37"/>
      <c r="M34" s="21" t="s">
        <v>131</v>
      </c>
      <c r="P34" s="7">
        <v>20299.0</v>
      </c>
      <c r="Q34" s="7">
        <v>20425.0</v>
      </c>
      <c r="R34" s="3" t="s">
        <v>121</v>
      </c>
      <c r="S34" s="20"/>
    </row>
    <row r="35" ht="22.5" customHeight="1">
      <c r="J35" s="21" t="s">
        <v>103</v>
      </c>
      <c r="K35" s="21"/>
      <c r="L35" s="21"/>
      <c r="M35" s="21" t="s">
        <v>131</v>
      </c>
    </row>
    <row r="36" ht="22.5" customHeight="1">
      <c r="J36" s="25" t="s">
        <v>104</v>
      </c>
      <c r="K36" s="22"/>
      <c r="L36" s="37"/>
      <c r="M36" s="21" t="s">
        <v>131</v>
      </c>
      <c r="P36" s="23" t="s">
        <v>123</v>
      </c>
      <c r="Q36" s="6"/>
    </row>
    <row r="37" ht="22.5" customHeight="1">
      <c r="J37" s="22"/>
      <c r="K37" s="22"/>
      <c r="L37" s="22"/>
      <c r="M37" s="22"/>
      <c r="P37" s="7" t="s">
        <v>71</v>
      </c>
      <c r="Q37" s="7" t="s">
        <v>50</v>
      </c>
    </row>
    <row r="38">
      <c r="P38" s="7">
        <v>20000.0</v>
      </c>
      <c r="Q38" s="7">
        <v>6674.0</v>
      </c>
    </row>
    <row r="40">
      <c r="P40" s="23" t="s">
        <v>130</v>
      </c>
      <c r="Q40" s="6"/>
    </row>
    <row r="41">
      <c r="P41" s="7" t="s">
        <v>71</v>
      </c>
      <c r="Q41" s="7" t="s">
        <v>50</v>
      </c>
      <c r="R41" s="3" t="s">
        <v>135</v>
      </c>
    </row>
    <row r="42">
      <c r="P42" s="7">
        <v>186772.0</v>
      </c>
      <c r="Q42" s="3">
        <v>286712.0</v>
      </c>
      <c r="R42" s="3" t="s">
        <v>138</v>
      </c>
      <c r="S42" s="3" t="s">
        <v>241</v>
      </c>
    </row>
    <row r="44">
      <c r="P44" s="23" t="s">
        <v>145</v>
      </c>
      <c r="Q44" s="6"/>
    </row>
    <row r="45">
      <c r="P45" s="7" t="s">
        <v>71</v>
      </c>
      <c r="Q45" s="7" t="s">
        <v>50</v>
      </c>
      <c r="R45" s="3" t="s">
        <v>238</v>
      </c>
      <c r="T45" s="3" t="s">
        <v>242</v>
      </c>
    </row>
    <row r="46">
      <c r="P46" s="7">
        <f>D2</f>
        <v>406834</v>
      </c>
      <c r="Q46" s="7">
        <f>514320-109259-17000</f>
        <v>388061</v>
      </c>
      <c r="R46" s="3" t="s">
        <v>148</v>
      </c>
      <c r="S46" s="3" t="s">
        <v>149</v>
      </c>
      <c r="T46" s="3" t="s">
        <v>239</v>
      </c>
    </row>
    <row r="48">
      <c r="J48" s="4" t="s">
        <v>119</v>
      </c>
      <c r="K48" s="5"/>
      <c r="L48" s="5"/>
      <c r="M48" s="5"/>
      <c r="N48" s="6"/>
      <c r="P48" s="23" t="s">
        <v>152</v>
      </c>
      <c r="Q48" s="6"/>
    </row>
    <row r="49">
      <c r="J49" s="9" t="s">
        <v>205</v>
      </c>
      <c r="K49" s="9" t="s">
        <v>10</v>
      </c>
      <c r="L49" s="10" t="s">
        <v>11</v>
      </c>
      <c r="M49" s="11"/>
      <c r="N49" s="11"/>
      <c r="P49" s="7" t="s">
        <v>71</v>
      </c>
      <c r="Q49" s="7" t="s">
        <v>50</v>
      </c>
    </row>
    <row r="50">
      <c r="J50" s="3">
        <f>1168705+(70044-6360)</f>
        <v>1232389</v>
      </c>
      <c r="K50" s="3">
        <f>1239078+70044</f>
        <v>1309122</v>
      </c>
      <c r="L50" s="12">
        <f>(K50-J50)/J50*100</f>
        <v>6.226361969</v>
      </c>
      <c r="M50" s="11"/>
      <c r="N50" s="11"/>
      <c r="P50" s="7">
        <v>16107.0</v>
      </c>
      <c r="Q50" s="7">
        <v>36107.0</v>
      </c>
    </row>
    <row r="51">
      <c r="J51" s="11"/>
      <c r="K51" s="11"/>
      <c r="L51" s="11"/>
      <c r="M51" s="11"/>
      <c r="N51" s="11"/>
    </row>
    <row r="52" ht="22.5" customHeight="1">
      <c r="J52" s="16" t="s">
        <v>22</v>
      </c>
      <c r="K52" s="16" t="s">
        <v>23</v>
      </c>
      <c r="L52" s="16" t="s">
        <v>24</v>
      </c>
      <c r="M52" s="16" t="s">
        <v>125</v>
      </c>
      <c r="N52" s="33" t="s">
        <v>126</v>
      </c>
      <c r="P52" s="23" t="s">
        <v>160</v>
      </c>
      <c r="Q52" s="6"/>
    </row>
    <row r="53" ht="22.5" customHeight="1">
      <c r="I53" s="40" t="s">
        <v>173</v>
      </c>
      <c r="J53" s="21" t="s">
        <v>47</v>
      </c>
      <c r="K53" s="21">
        <v>9.9</v>
      </c>
      <c r="L53" s="21">
        <v>4999.0</v>
      </c>
      <c r="M53" s="21" t="s">
        <v>174</v>
      </c>
      <c r="N53" s="35"/>
      <c r="P53" s="7" t="s">
        <v>71</v>
      </c>
      <c r="Q53" s="7" t="s">
        <v>50</v>
      </c>
    </row>
    <row r="54" ht="22.5" customHeight="1">
      <c r="J54" s="21" t="s">
        <v>52</v>
      </c>
      <c r="K54" s="21">
        <v>140.0</v>
      </c>
      <c r="L54" s="21">
        <v>4999.0</v>
      </c>
      <c r="M54" s="21" t="s">
        <v>174</v>
      </c>
      <c r="N54" s="35"/>
      <c r="P54" s="7">
        <v>4317.0</v>
      </c>
      <c r="Q54" s="7">
        <v>2680.0</v>
      </c>
    </row>
    <row r="55" ht="22.5" customHeight="1">
      <c r="J55" s="25" t="s">
        <v>88</v>
      </c>
      <c r="K55" s="21">
        <v>1310.3</v>
      </c>
      <c r="L55" s="21">
        <v>22998.0</v>
      </c>
      <c r="M55" s="21" t="s">
        <v>179</v>
      </c>
      <c r="N55" s="36"/>
      <c r="S55" s="26"/>
      <c r="T55" s="7" t="s">
        <v>181</v>
      </c>
    </row>
    <row r="56" ht="22.5" customHeight="1">
      <c r="J56" s="25" t="s">
        <v>90</v>
      </c>
      <c r="K56" s="21">
        <v>188.4</v>
      </c>
      <c r="L56" s="21">
        <v>14499.0</v>
      </c>
      <c r="M56" s="21" t="s">
        <v>179</v>
      </c>
      <c r="S56" s="7" t="s">
        <v>184</v>
      </c>
      <c r="T56" s="7">
        <v>25821.98</v>
      </c>
    </row>
    <row r="57" ht="22.5" customHeight="1">
      <c r="J57" s="21" t="s">
        <v>141</v>
      </c>
      <c r="K57" s="21">
        <v>398.9</v>
      </c>
      <c r="L57" s="21">
        <v>5999.0</v>
      </c>
      <c r="M57" s="21" t="s">
        <v>69</v>
      </c>
      <c r="S57" s="7" t="s">
        <v>187</v>
      </c>
      <c r="T57" s="7">
        <v>20000.0</v>
      </c>
    </row>
    <row r="58" ht="22.5" customHeight="1">
      <c r="J58" s="21" t="s">
        <v>188</v>
      </c>
      <c r="K58" s="21">
        <v>4.0</v>
      </c>
      <c r="L58" s="21">
        <v>16208.0</v>
      </c>
      <c r="M58" s="21" t="s">
        <v>179</v>
      </c>
      <c r="S58" s="7" t="s">
        <v>190</v>
      </c>
      <c r="T58" s="7">
        <v>74652.0</v>
      </c>
    </row>
    <row r="59" ht="22.5" customHeight="1">
      <c r="J59" s="21" t="s">
        <v>146</v>
      </c>
      <c r="K59" s="21">
        <v>15.0</v>
      </c>
      <c r="L59" s="21">
        <v>202298.0</v>
      </c>
      <c r="M59" s="21" t="s">
        <v>44</v>
      </c>
      <c r="T59" s="8">
        <f>T58-T56-T57</f>
        <v>28830.02</v>
      </c>
    </row>
    <row r="60" ht="22.5" customHeight="1">
      <c r="J60" s="25" t="s">
        <v>88</v>
      </c>
      <c r="K60" s="21"/>
      <c r="L60" s="21"/>
      <c r="M60" s="21" t="s">
        <v>179</v>
      </c>
    </row>
    <row r="61" ht="22.5" customHeight="1">
      <c r="J61" s="21" t="s">
        <v>57</v>
      </c>
      <c r="K61" s="21"/>
      <c r="L61" s="21"/>
      <c r="M61" s="21" t="s">
        <v>193</v>
      </c>
    </row>
    <row r="62" ht="22.5" customHeight="1">
      <c r="J62" s="25" t="s">
        <v>90</v>
      </c>
      <c r="K62" s="21"/>
      <c r="L62" s="21"/>
      <c r="M62" s="21" t="s">
        <v>179</v>
      </c>
    </row>
    <row r="63" ht="22.5" customHeight="1">
      <c r="I63" s="40" t="s">
        <v>194</v>
      </c>
      <c r="J63" s="21" t="s">
        <v>154</v>
      </c>
      <c r="K63" s="21"/>
      <c r="L63" s="21">
        <v>15799.0</v>
      </c>
      <c r="M63" s="21" t="s">
        <v>155</v>
      </c>
    </row>
    <row r="64" ht="22.5" customHeight="1">
      <c r="J64" s="21" t="s">
        <v>39</v>
      </c>
      <c r="K64" s="22"/>
      <c r="L64" s="21">
        <v>29998.0</v>
      </c>
      <c r="M64" s="21" t="s">
        <v>44</v>
      </c>
    </row>
    <row r="65" ht="22.5" customHeight="1">
      <c r="J65" s="21" t="s">
        <v>46</v>
      </c>
      <c r="K65" s="22"/>
      <c r="L65" s="21">
        <v>36098.0</v>
      </c>
      <c r="M65" s="21" t="s">
        <v>44</v>
      </c>
    </row>
    <row r="66" ht="22.5" customHeight="1">
      <c r="J66" s="21" t="s">
        <v>166</v>
      </c>
      <c r="K66" s="21"/>
      <c r="L66" s="21">
        <v>24320.0</v>
      </c>
      <c r="M66" s="21" t="s">
        <v>167</v>
      </c>
    </row>
    <row r="67" ht="22.5" customHeight="1">
      <c r="J67" s="21" t="s">
        <v>42</v>
      </c>
      <c r="K67" s="21"/>
      <c r="L67" s="21">
        <v>61096.0</v>
      </c>
      <c r="M67" s="21" t="s">
        <v>44</v>
      </c>
      <c r="N67" s="36" t="s">
        <v>163</v>
      </c>
    </row>
    <row r="68" ht="22.5" customHeight="1">
      <c r="J68" s="21" t="s">
        <v>76</v>
      </c>
      <c r="K68" s="22"/>
      <c r="L68" s="21">
        <v>160991.0</v>
      </c>
      <c r="M68" s="21" t="s">
        <v>44</v>
      </c>
    </row>
    <row r="69" ht="22.5" customHeight="1">
      <c r="J69" s="21" t="s">
        <v>87</v>
      </c>
      <c r="K69" s="21"/>
      <c r="L69" s="21">
        <v>64996.0</v>
      </c>
      <c r="M69" s="21" t="s">
        <v>158</v>
      </c>
    </row>
    <row r="70" ht="22.5" customHeight="1">
      <c r="J70" s="21" t="s">
        <v>195</v>
      </c>
      <c r="K70" s="34"/>
      <c r="L70" s="34">
        <v>14999.0</v>
      </c>
      <c r="M70" s="34" t="s">
        <v>196</v>
      </c>
    </row>
    <row r="71" ht="22.5" customHeight="1">
      <c r="J71" s="21" t="s">
        <v>94</v>
      </c>
      <c r="K71" s="22"/>
      <c r="L71" s="21">
        <v>30698.0</v>
      </c>
      <c r="M71" s="21" t="s">
        <v>169</v>
      </c>
    </row>
    <row r="72" ht="22.5" customHeight="1">
      <c r="J72" s="21" t="s">
        <v>57</v>
      </c>
      <c r="K72" s="21"/>
      <c r="L72" s="21">
        <v>70996.0</v>
      </c>
      <c r="M72" s="21" t="s">
        <v>151</v>
      </c>
    </row>
    <row r="73" ht="22.5" customHeight="1">
      <c r="J73" s="21" t="s">
        <v>112</v>
      </c>
      <c r="K73" s="22"/>
      <c r="L73" s="22"/>
      <c r="M73" s="21" t="s">
        <v>211</v>
      </c>
    </row>
    <row r="74" ht="22.5" customHeight="1">
      <c r="J74" s="21" t="s">
        <v>170</v>
      </c>
      <c r="K74" s="21"/>
      <c r="L74" s="21">
        <v>4999.0</v>
      </c>
      <c r="M74" s="21" t="s">
        <v>69</v>
      </c>
      <c r="N74" s="42"/>
    </row>
    <row r="75" ht="22.5" customHeight="1">
      <c r="J75" s="25" t="s">
        <v>88</v>
      </c>
      <c r="K75" s="22"/>
      <c r="L75" s="21">
        <v>96995.0</v>
      </c>
      <c r="M75" s="21" t="s">
        <v>44</v>
      </c>
      <c r="N75" s="42"/>
    </row>
    <row r="76" ht="22.5" customHeight="1">
      <c r="J76" s="25" t="s">
        <v>90</v>
      </c>
      <c r="K76" s="22"/>
      <c r="L76" s="21">
        <v>69996.0</v>
      </c>
      <c r="M76" s="21" t="s">
        <v>179</v>
      </c>
      <c r="N76" s="42"/>
    </row>
    <row r="83">
      <c r="J83" s="9" t="s">
        <v>205</v>
      </c>
      <c r="K83" s="9" t="s">
        <v>10</v>
      </c>
      <c r="L83" s="10" t="s">
        <v>11</v>
      </c>
    </row>
    <row r="84">
      <c r="J84" s="3">
        <v>727104.0</v>
      </c>
      <c r="K84" s="3">
        <v>933998.0</v>
      </c>
      <c r="L84" s="12">
        <f>(K84-J84)/J84*100</f>
        <v>28.45452645</v>
      </c>
    </row>
    <row r="87">
      <c r="J87" s="43" t="s">
        <v>22</v>
      </c>
      <c r="K87" s="43" t="s">
        <v>23</v>
      </c>
      <c r="L87" s="43" t="s">
        <v>24</v>
      </c>
      <c r="M87" s="43" t="s">
        <v>125</v>
      </c>
    </row>
    <row r="88">
      <c r="J88" s="27" t="s">
        <v>175</v>
      </c>
      <c r="K88" s="27"/>
      <c r="L88" s="27">
        <v>31398.0</v>
      </c>
      <c r="M88" s="27" t="s">
        <v>176</v>
      </c>
    </row>
    <row r="89">
      <c r="J89" s="27" t="s">
        <v>183</v>
      </c>
      <c r="K89" s="27"/>
      <c r="L89" s="27">
        <v>140993.0</v>
      </c>
      <c r="M89" s="27" t="s">
        <v>185</v>
      </c>
    </row>
    <row r="90">
      <c r="J90" s="7" t="s">
        <v>191</v>
      </c>
      <c r="K90" s="7"/>
      <c r="L90" s="7">
        <v>15999.0</v>
      </c>
      <c r="M90" s="7" t="s">
        <v>192</v>
      </c>
    </row>
  </sheetData>
  <mergeCells count="14">
    <mergeCell ref="P32:Q32"/>
    <mergeCell ref="P36:Q36"/>
    <mergeCell ref="P40:Q40"/>
    <mergeCell ref="P44:Q44"/>
    <mergeCell ref="J48:N48"/>
    <mergeCell ref="P48:Q48"/>
    <mergeCell ref="P52:Q52"/>
    <mergeCell ref="J1:N1"/>
    <mergeCell ref="T2:T7"/>
    <mergeCell ref="P9:Q9"/>
    <mergeCell ref="P14:Q14"/>
    <mergeCell ref="P18:Q18"/>
    <mergeCell ref="P23:Q23"/>
    <mergeCell ref="P28:Q28"/>
  </mergeCell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6.13"/>
    <col customWidth="1" min="4" max="4" width="12.63"/>
    <col customWidth="1" min="5" max="5" width="25.88"/>
    <col customWidth="1" min="10" max="10" width="34.25"/>
    <col customWidth="1" min="12" max="12" width="19.13"/>
    <col customWidth="1" min="13" max="13" width="37.13"/>
    <col customWidth="1" min="16" max="16" width="26.75"/>
    <col customWidth="1" min="17" max="17" width="13.0"/>
    <col customWidth="1" min="21" max="21" width="42.88"/>
  </cols>
  <sheetData>
    <row r="1">
      <c r="A1" s="1"/>
      <c r="B1" s="2" t="s">
        <v>0</v>
      </c>
      <c r="C1" s="2" t="s">
        <v>197</v>
      </c>
      <c r="D1" s="2" t="s">
        <v>1</v>
      </c>
      <c r="E1" s="2" t="s">
        <v>2</v>
      </c>
      <c r="G1" s="3" t="s">
        <v>3</v>
      </c>
      <c r="H1" s="3" t="s">
        <v>4</v>
      </c>
      <c r="J1" s="4" t="s">
        <v>5</v>
      </c>
      <c r="K1" s="5"/>
      <c r="L1" s="5"/>
      <c r="M1" s="5"/>
      <c r="N1" s="6"/>
    </row>
    <row r="2">
      <c r="A2" s="1"/>
      <c r="B2" s="13">
        <f>93476+B3+30000</f>
        <v>343984</v>
      </c>
      <c r="C2" s="13"/>
      <c r="D2" s="13">
        <f>388061+D3</f>
        <v>497320</v>
      </c>
      <c r="E2" s="26"/>
      <c r="F2" s="8">
        <f>B2-B3</f>
        <v>123476</v>
      </c>
      <c r="J2" s="9" t="s">
        <v>208</v>
      </c>
      <c r="K2" s="9" t="s">
        <v>10</v>
      </c>
      <c r="L2" s="10" t="s">
        <v>11</v>
      </c>
      <c r="M2" s="11"/>
      <c r="N2" s="11"/>
      <c r="T2" s="3" t="s">
        <v>12</v>
      </c>
      <c r="U2" s="3" t="s">
        <v>13</v>
      </c>
    </row>
    <row r="3">
      <c r="A3" s="2" t="s">
        <v>14</v>
      </c>
      <c r="B3" s="13">
        <v>220508.0</v>
      </c>
      <c r="C3" s="2"/>
      <c r="D3" s="2">
        <v>109259.0</v>
      </c>
      <c r="E3" s="2"/>
      <c r="F3" s="3">
        <v>53726.0</v>
      </c>
      <c r="H3" s="8">
        <f>-(B4+B8+B9+B10+B11+B14+D12+D10+D4)</f>
        <v>57500</v>
      </c>
      <c r="J3" s="20">
        <v>5908628.0</v>
      </c>
      <c r="K3" s="20">
        <v>8178346.0</v>
      </c>
      <c r="L3" s="12">
        <f>(K3-J3)/J3*100</f>
        <v>38.41362157</v>
      </c>
      <c r="M3" s="11"/>
      <c r="N3" s="11"/>
      <c r="U3" s="3" t="s">
        <v>16</v>
      </c>
      <c r="V3" s="3" t="s">
        <v>200</v>
      </c>
    </row>
    <row r="4">
      <c r="A4" s="13" t="s">
        <v>214</v>
      </c>
      <c r="B4" s="13">
        <v>-10000.0</v>
      </c>
      <c r="C4" s="13"/>
      <c r="D4" s="13"/>
      <c r="E4" s="26">
        <f>B20+B19+B18+B17+B11+B9+B7</f>
        <v>-141000</v>
      </c>
      <c r="F4" s="8">
        <f>-(B4)-D4</f>
        <v>10000</v>
      </c>
      <c r="M4" s="11"/>
      <c r="N4" s="11"/>
      <c r="U4" s="3" t="s">
        <v>20</v>
      </c>
    </row>
    <row r="5" ht="22.5" customHeight="1">
      <c r="A5" s="13" t="s">
        <v>201</v>
      </c>
      <c r="B5" s="13">
        <v>-4500.0</v>
      </c>
      <c r="C5" s="13"/>
      <c r="D5" s="1"/>
      <c r="E5" s="1">
        <f>430606-273700-10000-2500</f>
        <v>144406</v>
      </c>
      <c r="F5" s="8">
        <f t="shared" ref="F5:F16" si="1">-(B7)-D7</f>
        <v>222600</v>
      </c>
      <c r="J5" s="16" t="s">
        <v>22</v>
      </c>
      <c r="K5" s="16" t="s">
        <v>23</v>
      </c>
      <c r="L5" s="16" t="s">
        <v>24</v>
      </c>
      <c r="M5" s="17" t="s">
        <v>28</v>
      </c>
      <c r="N5" s="11"/>
      <c r="U5" s="3" t="s">
        <v>25</v>
      </c>
    </row>
    <row r="6" ht="22.5" customHeight="1">
      <c r="A6" s="13" t="s">
        <v>202</v>
      </c>
      <c r="B6" s="13"/>
      <c r="C6" s="13"/>
      <c r="D6" s="1"/>
      <c r="E6" s="13" t="s">
        <v>18</v>
      </c>
      <c r="F6" s="8">
        <f t="shared" si="1"/>
        <v>27500</v>
      </c>
      <c r="G6" s="8">
        <f>5000+3000</f>
        <v>8000</v>
      </c>
      <c r="J6" s="21" t="s">
        <v>39</v>
      </c>
      <c r="K6" s="22"/>
      <c r="L6" s="22"/>
      <c r="M6" s="21" t="s">
        <v>44</v>
      </c>
      <c r="N6" s="11"/>
      <c r="U6" s="3" t="s">
        <v>29</v>
      </c>
    </row>
    <row r="7" ht="22.5" customHeight="1">
      <c r="A7" s="13" t="s">
        <v>21</v>
      </c>
      <c r="B7" s="13">
        <f>-81000</f>
        <v>-81000</v>
      </c>
      <c r="C7" s="13"/>
      <c r="D7" s="13">
        <f>-(283200/2)</f>
        <v>-141600</v>
      </c>
      <c r="E7" s="13">
        <f>46500+79500</f>
        <v>126000</v>
      </c>
      <c r="F7" s="8">
        <f t="shared" si="1"/>
        <v>0</v>
      </c>
      <c r="J7" s="21" t="s">
        <v>46</v>
      </c>
      <c r="K7" s="21"/>
      <c r="L7" s="21"/>
      <c r="M7" s="21" t="s">
        <v>44</v>
      </c>
      <c r="N7" s="11"/>
      <c r="V7" s="3" t="s">
        <v>35</v>
      </c>
    </row>
    <row r="8" ht="22.5" customHeight="1">
      <c r="A8" s="13" t="s">
        <v>26</v>
      </c>
      <c r="B8" s="13">
        <v>-27500.0</v>
      </c>
      <c r="C8" s="13" t="s">
        <v>204</v>
      </c>
      <c r="D8" s="13"/>
      <c r="E8" s="13"/>
      <c r="F8" s="8">
        <f t="shared" si="1"/>
        <v>5000</v>
      </c>
      <c r="J8" s="25" t="s">
        <v>31</v>
      </c>
      <c r="K8" s="21"/>
      <c r="L8" s="21"/>
      <c r="M8" s="21" t="s">
        <v>59</v>
      </c>
      <c r="N8" s="20"/>
      <c r="U8" s="3" t="s">
        <v>40</v>
      </c>
    </row>
    <row r="9" ht="22.5" customHeight="1">
      <c r="A9" s="13" t="s">
        <v>30</v>
      </c>
      <c r="B9" s="13"/>
      <c r="C9" s="13" t="s">
        <v>206</v>
      </c>
      <c r="D9" s="13"/>
      <c r="E9" s="13" t="s">
        <v>207</v>
      </c>
      <c r="F9" s="8">
        <f t="shared" si="1"/>
        <v>8000</v>
      </c>
      <c r="J9" s="21" t="s">
        <v>38</v>
      </c>
      <c r="K9" s="21"/>
      <c r="L9" s="21"/>
      <c r="M9" s="21" t="s">
        <v>69</v>
      </c>
      <c r="P9" s="23" t="s">
        <v>43</v>
      </c>
      <c r="Q9" s="6"/>
    </row>
    <row r="10" ht="22.5" customHeight="1">
      <c r="A10" s="13" t="s">
        <v>36</v>
      </c>
      <c r="B10" s="13"/>
      <c r="C10" s="13"/>
      <c r="D10" s="13">
        <v>-5000.0</v>
      </c>
      <c r="E10" s="13"/>
      <c r="F10" s="8">
        <f t="shared" si="1"/>
        <v>0</v>
      </c>
      <c r="J10" s="21" t="s">
        <v>42</v>
      </c>
      <c r="K10" s="21"/>
      <c r="L10" s="21"/>
      <c r="M10" s="21" t="s">
        <v>44</v>
      </c>
      <c r="P10" s="7" t="s">
        <v>49</v>
      </c>
      <c r="Q10" s="7" t="s">
        <v>50</v>
      </c>
    </row>
    <row r="11" ht="22.5" customHeight="1">
      <c r="A11" s="13" t="s">
        <v>225</v>
      </c>
      <c r="B11" s="13">
        <v>-7000.0</v>
      </c>
      <c r="C11" s="13" t="s">
        <v>209</v>
      </c>
      <c r="D11" s="13">
        <v>-1000.0</v>
      </c>
      <c r="E11" s="13" t="s">
        <v>207</v>
      </c>
      <c r="F11" s="8">
        <f t="shared" si="1"/>
        <v>8000</v>
      </c>
      <c r="J11" s="21" t="s">
        <v>76</v>
      </c>
      <c r="K11" s="22"/>
      <c r="L11" s="22"/>
      <c r="M11" s="21" t="s">
        <v>79</v>
      </c>
      <c r="P11" s="10">
        <v>0.0</v>
      </c>
      <c r="Q11" s="7">
        <v>0.0</v>
      </c>
    </row>
    <row r="12" ht="22.5" customHeight="1">
      <c r="A12" s="13" t="s">
        <v>45</v>
      </c>
      <c r="B12" s="13">
        <v>0.0</v>
      </c>
      <c r="C12" s="13"/>
      <c r="D12" s="13">
        <v>0.0</v>
      </c>
      <c r="E12" s="13"/>
      <c r="F12" s="8">
        <f t="shared" si="1"/>
        <v>8000</v>
      </c>
      <c r="J12" s="21" t="s">
        <v>210</v>
      </c>
      <c r="K12" s="22"/>
      <c r="L12" s="22"/>
      <c r="M12" s="21" t="s">
        <v>211</v>
      </c>
    </row>
    <row r="13" ht="22.5" customHeight="1">
      <c r="A13" s="13" t="s">
        <v>51</v>
      </c>
      <c r="B13" s="13">
        <v>-8000.0</v>
      </c>
      <c r="C13" s="13" t="s">
        <v>212</v>
      </c>
      <c r="D13" s="13">
        <v>0.0</v>
      </c>
      <c r="E13" s="13" t="s">
        <v>18</v>
      </c>
      <c r="F13" s="8">
        <f t="shared" si="1"/>
        <v>318</v>
      </c>
      <c r="J13" s="21" t="s">
        <v>47</v>
      </c>
      <c r="K13" s="21"/>
      <c r="L13" s="21"/>
      <c r="M13" s="21" t="s">
        <v>48</v>
      </c>
      <c r="U13" s="3" t="s">
        <v>60</v>
      </c>
    </row>
    <row r="14" ht="22.5" customHeight="1">
      <c r="A14" s="13" t="s">
        <v>53</v>
      </c>
      <c r="B14" s="13">
        <v>-8000.0</v>
      </c>
      <c r="C14" s="13" t="s">
        <v>213</v>
      </c>
      <c r="D14" s="13"/>
      <c r="E14" s="13" t="s">
        <v>18</v>
      </c>
      <c r="F14" s="8">
        <f t="shared" si="1"/>
        <v>500</v>
      </c>
      <c r="J14" s="21" t="s">
        <v>87</v>
      </c>
      <c r="K14" s="22"/>
      <c r="L14" s="22"/>
      <c r="M14" s="21" t="s">
        <v>92</v>
      </c>
      <c r="P14" s="23" t="s">
        <v>64</v>
      </c>
      <c r="Q14" s="6"/>
      <c r="R14" s="3" t="s">
        <v>65</v>
      </c>
      <c r="U14" s="3" t="s">
        <v>66</v>
      </c>
    </row>
    <row r="15" ht="22.5" customHeight="1">
      <c r="A15" s="13" t="s">
        <v>56</v>
      </c>
      <c r="B15" s="13">
        <v>-318.0</v>
      </c>
      <c r="C15" s="13" t="s">
        <v>18</v>
      </c>
      <c r="D15" s="1"/>
      <c r="E15" s="13"/>
      <c r="F15" s="8">
        <f t="shared" si="1"/>
        <v>3000</v>
      </c>
      <c r="G15" s="3">
        <v>100000.0</v>
      </c>
      <c r="J15" s="21" t="s">
        <v>215</v>
      </c>
      <c r="K15" s="22"/>
      <c r="L15" s="22"/>
      <c r="M15" s="21" t="s">
        <v>178</v>
      </c>
      <c r="P15" s="7" t="s">
        <v>71</v>
      </c>
      <c r="Q15" s="7" t="s">
        <v>50</v>
      </c>
      <c r="R15" s="3" t="s">
        <v>113</v>
      </c>
    </row>
    <row r="16" ht="22.5" customHeight="1">
      <c r="A16" s="13" t="s">
        <v>61</v>
      </c>
      <c r="B16" s="13">
        <v>-500.0</v>
      </c>
      <c r="C16" s="13" t="s">
        <v>18</v>
      </c>
      <c r="D16" s="13"/>
      <c r="E16" s="13"/>
      <c r="F16" s="8">
        <f t="shared" si="1"/>
        <v>30000</v>
      </c>
      <c r="J16" s="21" t="s">
        <v>94</v>
      </c>
      <c r="K16" s="22"/>
      <c r="L16" s="22"/>
      <c r="M16" s="21" t="s">
        <v>63</v>
      </c>
      <c r="P16" s="7">
        <v>461168.0</v>
      </c>
      <c r="Q16" s="7">
        <v>374742.0</v>
      </c>
      <c r="R16" s="8">
        <f>P16-Q16</f>
        <v>86426</v>
      </c>
      <c r="S16" s="3" t="s">
        <v>74</v>
      </c>
      <c r="T16" s="3" t="s">
        <v>75</v>
      </c>
      <c r="U16" s="3">
        <f>460000+230000+Q16</f>
        <v>1064742</v>
      </c>
    </row>
    <row r="17" ht="22.5" customHeight="1">
      <c r="A17" s="13" t="s">
        <v>67</v>
      </c>
      <c r="B17" s="13">
        <v>-3000.0</v>
      </c>
      <c r="C17" s="13" t="s">
        <v>216</v>
      </c>
      <c r="D17" s="1"/>
      <c r="E17" s="13" t="s">
        <v>207</v>
      </c>
      <c r="J17" s="21" t="s">
        <v>52</v>
      </c>
      <c r="K17" s="21"/>
      <c r="L17" s="21"/>
      <c r="M17" s="21" t="s">
        <v>48</v>
      </c>
      <c r="U17" s="8">
        <f>P16-U16</f>
        <v>-603574</v>
      </c>
    </row>
    <row r="18" ht="22.5" customHeight="1">
      <c r="A18" s="13" t="s">
        <v>217</v>
      </c>
      <c r="B18" s="13">
        <v>-30000.0</v>
      </c>
      <c r="C18" s="13" t="s">
        <v>219</v>
      </c>
      <c r="D18" s="1"/>
      <c r="E18" s="13" t="s">
        <v>207</v>
      </c>
      <c r="J18" s="21" t="s">
        <v>115</v>
      </c>
      <c r="K18" s="22"/>
      <c r="L18" s="22"/>
      <c r="M18" s="21" t="s">
        <v>118</v>
      </c>
      <c r="P18" s="23" t="s">
        <v>81</v>
      </c>
      <c r="Q18" s="6"/>
    </row>
    <row r="19" ht="22.5" customHeight="1">
      <c r="A19" s="13" t="s">
        <v>78</v>
      </c>
      <c r="B19" s="13"/>
      <c r="C19" s="13" t="s">
        <v>220</v>
      </c>
      <c r="D19" s="1"/>
      <c r="E19" s="13" t="s">
        <v>207</v>
      </c>
      <c r="J19" s="21" t="s">
        <v>54</v>
      </c>
      <c r="K19" s="21"/>
      <c r="L19" s="21"/>
      <c r="M19" s="21" t="s">
        <v>122</v>
      </c>
      <c r="P19" s="7" t="s">
        <v>71</v>
      </c>
      <c r="Q19" s="7" t="s">
        <v>50</v>
      </c>
    </row>
    <row r="20" ht="22.5" customHeight="1">
      <c r="A20" s="13" t="s">
        <v>221</v>
      </c>
      <c r="B20" s="13">
        <f>-5000-15000</f>
        <v>-20000</v>
      </c>
      <c r="C20" s="13" t="s">
        <v>222</v>
      </c>
      <c r="D20" s="13"/>
      <c r="E20" s="13" t="s">
        <v>207</v>
      </c>
      <c r="J20" s="21" t="s">
        <v>57</v>
      </c>
      <c r="K20" s="21"/>
      <c r="L20" s="21"/>
      <c r="M20" s="21" t="s">
        <v>58</v>
      </c>
      <c r="P20" s="3">
        <v>900.0</v>
      </c>
      <c r="Q20" s="3">
        <v>0.0</v>
      </c>
    </row>
    <row r="21" ht="22.5" customHeight="1">
      <c r="A21" s="13" t="s">
        <v>124</v>
      </c>
      <c r="B21" s="13"/>
      <c r="C21" s="13" t="s">
        <v>223</v>
      </c>
      <c r="D21" s="1"/>
      <c r="E21" s="13">
        <v>10000.0</v>
      </c>
      <c r="J21" s="25" t="s">
        <v>68</v>
      </c>
      <c r="K21" s="21"/>
      <c r="L21" s="21"/>
      <c r="M21" s="21" t="s">
        <v>70</v>
      </c>
      <c r="P21" s="20"/>
      <c r="Q21" s="20"/>
      <c r="R21" s="20"/>
      <c r="S21" s="20"/>
    </row>
    <row r="22" ht="22.5" customHeight="1">
      <c r="A22" s="13" t="s">
        <v>235</v>
      </c>
      <c r="B22" s="13"/>
      <c r="C22" s="13"/>
      <c r="D22" s="13">
        <v>20000.0</v>
      </c>
      <c r="E22" s="1"/>
      <c r="J22" s="34" t="s">
        <v>62</v>
      </c>
      <c r="K22" s="21"/>
      <c r="L22" s="21"/>
      <c r="M22" s="21" t="s">
        <v>129</v>
      </c>
      <c r="P22" s="20"/>
      <c r="Q22" s="20"/>
      <c r="R22" s="20"/>
      <c r="S22" s="20"/>
    </row>
    <row r="23" ht="22.5" customHeight="1">
      <c r="A23" s="13" t="s">
        <v>86</v>
      </c>
      <c r="B23" s="1">
        <f>SUM(B3:B22)</f>
        <v>20690</v>
      </c>
      <c r="C23" s="1"/>
      <c r="D23" s="1">
        <f>SUM(D3:D22)</f>
        <v>-18341</v>
      </c>
      <c r="E23" s="1"/>
      <c r="J23" s="21" t="s">
        <v>73</v>
      </c>
      <c r="K23" s="21"/>
      <c r="L23" s="21"/>
      <c r="M23" s="21" t="s">
        <v>131</v>
      </c>
      <c r="P23" s="23" t="s">
        <v>91</v>
      </c>
      <c r="Q23" s="6"/>
      <c r="R23" s="20"/>
      <c r="S23" s="20"/>
    </row>
    <row r="24" ht="22.5" customHeight="1">
      <c r="J24" s="21" t="s">
        <v>77</v>
      </c>
      <c r="K24" s="21"/>
      <c r="L24" s="21"/>
      <c r="M24" s="21" t="s">
        <v>131</v>
      </c>
      <c r="P24" s="7" t="s">
        <v>71</v>
      </c>
      <c r="Q24" s="7" t="s">
        <v>50</v>
      </c>
      <c r="R24" s="20" t="s">
        <v>233</v>
      </c>
      <c r="S24" s="20"/>
    </row>
    <row r="25" ht="22.5" customHeight="1">
      <c r="J25" s="25" t="s">
        <v>134</v>
      </c>
      <c r="K25" s="21"/>
      <c r="L25" s="21"/>
      <c r="M25" s="21" t="s">
        <v>136</v>
      </c>
      <c r="P25" s="7">
        <f>153903+16000</f>
        <v>169903</v>
      </c>
      <c r="Q25" s="3">
        <v>51056.0</v>
      </c>
      <c r="R25" s="20" t="s">
        <v>99</v>
      </c>
      <c r="S25" s="20" t="s">
        <v>100</v>
      </c>
      <c r="T25" s="3" t="s">
        <v>234</v>
      </c>
    </row>
    <row r="26" ht="22.5" customHeight="1">
      <c r="J26" s="25" t="s">
        <v>137</v>
      </c>
      <c r="K26" s="21"/>
      <c r="L26" s="21"/>
      <c r="M26" s="21" t="s">
        <v>131</v>
      </c>
      <c r="Q26" s="20"/>
      <c r="R26" s="20"/>
      <c r="S26" s="20"/>
    </row>
    <row r="27" ht="22.5" customHeight="1">
      <c r="J27" s="21" t="s">
        <v>112</v>
      </c>
      <c r="K27" s="22"/>
      <c r="L27" s="22"/>
      <c r="M27" s="21" t="s">
        <v>44</v>
      </c>
      <c r="Q27" s="20"/>
      <c r="R27" s="20"/>
      <c r="S27" s="20"/>
    </row>
    <row r="28" ht="22.5" customHeight="1">
      <c r="J28" s="25" t="s">
        <v>85</v>
      </c>
      <c r="K28" s="21"/>
      <c r="L28" s="21"/>
      <c r="M28" s="21" t="s">
        <v>131</v>
      </c>
      <c r="P28" s="23" t="s">
        <v>106</v>
      </c>
      <c r="Q28" s="6"/>
      <c r="R28" s="20" t="s">
        <v>108</v>
      </c>
      <c r="S28" s="20"/>
    </row>
    <row r="29" ht="22.5" customHeight="1">
      <c r="J29" s="25" t="s">
        <v>88</v>
      </c>
      <c r="K29" s="21"/>
      <c r="L29" s="21"/>
      <c r="M29" s="21" t="s">
        <v>131</v>
      </c>
      <c r="P29" s="7" t="s">
        <v>71</v>
      </c>
      <c r="Q29" s="7" t="s">
        <v>50</v>
      </c>
      <c r="R29" s="20"/>
      <c r="S29" s="20"/>
    </row>
    <row r="30" ht="22.5" customHeight="1">
      <c r="J30" s="21" t="s">
        <v>227</v>
      </c>
      <c r="K30" s="22"/>
      <c r="L30" s="22"/>
      <c r="M30" s="21" t="s">
        <v>228</v>
      </c>
      <c r="P30" s="7">
        <f>B2</f>
        <v>343984</v>
      </c>
      <c r="Q30" s="7">
        <f>E5</f>
        <v>144406</v>
      </c>
      <c r="R30" s="20">
        <f>P30-Q30</f>
        <v>199578</v>
      </c>
      <c r="S30" s="20" t="s">
        <v>230</v>
      </c>
      <c r="T30" s="3" t="s">
        <v>240</v>
      </c>
    </row>
    <row r="31" ht="22.5" customHeight="1">
      <c r="J31" s="21" t="s">
        <v>89</v>
      </c>
      <c r="K31" s="21"/>
      <c r="L31" s="21"/>
      <c r="M31" s="21" t="s">
        <v>33</v>
      </c>
      <c r="Q31" s="20"/>
      <c r="R31" s="20"/>
      <c r="S31" s="20"/>
    </row>
    <row r="32" ht="22.5" customHeight="1">
      <c r="J32" s="25" t="s">
        <v>90</v>
      </c>
      <c r="K32" s="21"/>
      <c r="L32" s="21"/>
      <c r="M32" s="21" t="s">
        <v>131</v>
      </c>
      <c r="P32" s="23" t="s">
        <v>117</v>
      </c>
      <c r="Q32" s="6"/>
      <c r="R32" s="20"/>
      <c r="S32" s="20"/>
    </row>
    <row r="33" ht="22.5" customHeight="1">
      <c r="J33" s="21" t="s">
        <v>93</v>
      </c>
      <c r="K33" s="21"/>
      <c r="L33" s="37"/>
      <c r="M33" s="21" t="s">
        <v>150</v>
      </c>
      <c r="P33" s="7" t="s">
        <v>71</v>
      </c>
      <c r="Q33" s="7" t="s">
        <v>50</v>
      </c>
      <c r="R33" s="20"/>
      <c r="S33" s="20"/>
    </row>
    <row r="34" ht="22.5" customHeight="1">
      <c r="J34" s="38" t="s">
        <v>97</v>
      </c>
      <c r="K34" s="21"/>
      <c r="L34" s="37"/>
      <c r="M34" s="21" t="s">
        <v>131</v>
      </c>
      <c r="P34" s="7">
        <v>20425.0</v>
      </c>
      <c r="Q34" s="7">
        <v>20425.0</v>
      </c>
      <c r="R34" s="3" t="s">
        <v>121</v>
      </c>
      <c r="S34" s="20"/>
    </row>
    <row r="35" ht="22.5" customHeight="1">
      <c r="J35" s="21" t="s">
        <v>103</v>
      </c>
      <c r="K35" s="21"/>
      <c r="L35" s="21"/>
      <c r="M35" s="21" t="s">
        <v>131</v>
      </c>
    </row>
    <row r="36" ht="22.5" customHeight="1">
      <c r="J36" s="25" t="s">
        <v>243</v>
      </c>
      <c r="K36" s="22"/>
      <c r="L36" s="37"/>
      <c r="M36" s="21" t="s">
        <v>211</v>
      </c>
      <c r="P36" s="23" t="s">
        <v>123</v>
      </c>
      <c r="Q36" s="6"/>
    </row>
    <row r="37" ht="22.5" customHeight="1">
      <c r="J37" s="25" t="s">
        <v>104</v>
      </c>
      <c r="K37" s="22"/>
      <c r="L37" s="37"/>
      <c r="M37" s="21" t="s">
        <v>131</v>
      </c>
      <c r="P37" s="7" t="s">
        <v>71</v>
      </c>
      <c r="Q37" s="7" t="s">
        <v>50</v>
      </c>
    </row>
    <row r="38">
      <c r="P38" s="7">
        <f>6674+15000</f>
        <v>21674</v>
      </c>
      <c r="Q38" s="3">
        <v>6354.0</v>
      </c>
    </row>
    <row r="40">
      <c r="P40" s="23" t="s">
        <v>130</v>
      </c>
      <c r="Q40" s="6"/>
    </row>
    <row r="41">
      <c r="P41" s="7" t="s">
        <v>71</v>
      </c>
      <c r="Q41" s="7" t="s">
        <v>50</v>
      </c>
      <c r="R41" s="3" t="s">
        <v>135</v>
      </c>
    </row>
    <row r="42">
      <c r="P42" s="7">
        <v>286712.0</v>
      </c>
      <c r="Q42" s="8">
        <f>56753+242400</f>
        <v>299153</v>
      </c>
      <c r="R42" s="3" t="s">
        <v>138</v>
      </c>
      <c r="S42" s="3" t="s">
        <v>241</v>
      </c>
    </row>
    <row r="44">
      <c r="P44" s="23" t="s">
        <v>145</v>
      </c>
      <c r="Q44" s="6"/>
    </row>
    <row r="45">
      <c r="P45" s="7" t="s">
        <v>71</v>
      </c>
      <c r="Q45" s="7" t="s">
        <v>50</v>
      </c>
      <c r="R45" s="3" t="s">
        <v>244</v>
      </c>
      <c r="T45" s="3" t="s">
        <v>242</v>
      </c>
    </row>
    <row r="46">
      <c r="P46" s="7">
        <f>D2</f>
        <v>497320</v>
      </c>
      <c r="Q46" s="7">
        <f>274020-109104-2250+7000</f>
        <v>169666</v>
      </c>
      <c r="R46" s="3" t="s">
        <v>148</v>
      </c>
      <c r="S46" s="3" t="s">
        <v>149</v>
      </c>
      <c r="T46" s="3" t="s">
        <v>239</v>
      </c>
    </row>
    <row r="48">
      <c r="J48" s="4" t="s">
        <v>119</v>
      </c>
      <c r="K48" s="5"/>
      <c r="L48" s="5"/>
      <c r="M48" s="5"/>
      <c r="N48" s="6"/>
      <c r="P48" s="23" t="s">
        <v>152</v>
      </c>
      <c r="Q48" s="6"/>
    </row>
    <row r="49">
      <c r="J49" s="9" t="s">
        <v>208</v>
      </c>
      <c r="K49" s="9" t="s">
        <v>10</v>
      </c>
      <c r="L49" s="10" t="s">
        <v>11</v>
      </c>
      <c r="M49" s="11"/>
      <c r="N49" s="11"/>
      <c r="P49" s="7" t="s">
        <v>71</v>
      </c>
      <c r="Q49" s="7" t="s">
        <v>50</v>
      </c>
    </row>
    <row r="50">
      <c r="J50" s="3">
        <f>1382398+6209</f>
        <v>1388607</v>
      </c>
      <c r="K50" s="3">
        <f>1495160+6209</f>
        <v>1501369</v>
      </c>
      <c r="L50" s="12">
        <f>(K50-J50)/J50*100</f>
        <v>8.120512139</v>
      </c>
      <c r="M50" s="11"/>
      <c r="N50" s="11"/>
      <c r="P50" s="7">
        <v>36107.0</v>
      </c>
      <c r="Q50" s="7">
        <f>42316-732-1700-3777</f>
        <v>36107</v>
      </c>
    </row>
    <row r="51">
      <c r="J51" s="11"/>
      <c r="K51" s="11"/>
      <c r="L51" s="11"/>
      <c r="M51" s="11"/>
      <c r="N51" s="11"/>
    </row>
    <row r="52" ht="22.5" customHeight="1">
      <c r="J52" s="16" t="s">
        <v>22</v>
      </c>
      <c r="K52" s="16" t="s">
        <v>23</v>
      </c>
      <c r="L52" s="16" t="s">
        <v>24</v>
      </c>
      <c r="M52" s="16" t="s">
        <v>125</v>
      </c>
      <c r="N52" s="33" t="s">
        <v>126</v>
      </c>
      <c r="P52" s="23" t="s">
        <v>160</v>
      </c>
      <c r="Q52" s="6"/>
    </row>
    <row r="53" ht="22.5" customHeight="1">
      <c r="I53" s="40" t="s">
        <v>173</v>
      </c>
      <c r="J53" s="21" t="s">
        <v>47</v>
      </c>
      <c r="K53" s="21">
        <v>9.9</v>
      </c>
      <c r="L53" s="21">
        <v>4999.0</v>
      </c>
      <c r="M53" s="21" t="s">
        <v>174</v>
      </c>
      <c r="N53" s="35"/>
      <c r="P53" s="7" t="s">
        <v>71</v>
      </c>
      <c r="Q53" s="7" t="s">
        <v>50</v>
      </c>
    </row>
    <row r="54" ht="22.5" customHeight="1">
      <c r="J54" s="21" t="s">
        <v>52</v>
      </c>
      <c r="K54" s="21">
        <v>140.0</v>
      </c>
      <c r="L54" s="21">
        <v>4999.0</v>
      </c>
      <c r="M54" s="21" t="s">
        <v>174</v>
      </c>
      <c r="N54" s="35"/>
      <c r="P54" s="7">
        <f>2680+5000</f>
        <v>7680</v>
      </c>
      <c r="Q54" s="7">
        <v>7571.0</v>
      </c>
    </row>
    <row r="55" ht="22.5" customHeight="1">
      <c r="J55" s="25" t="s">
        <v>88</v>
      </c>
      <c r="K55" s="21">
        <v>1310.3</v>
      </c>
      <c r="L55" s="21">
        <v>22998.0</v>
      </c>
      <c r="M55" s="21" t="s">
        <v>179</v>
      </c>
      <c r="N55" s="36"/>
      <c r="S55" s="26"/>
      <c r="T55" s="7" t="s">
        <v>181</v>
      </c>
    </row>
    <row r="56" ht="22.5" customHeight="1">
      <c r="J56" s="25" t="s">
        <v>90</v>
      </c>
      <c r="K56" s="21">
        <v>188.4</v>
      </c>
      <c r="L56" s="21">
        <v>14499.0</v>
      </c>
      <c r="M56" s="21" t="s">
        <v>179</v>
      </c>
      <c r="S56" s="7" t="s">
        <v>184</v>
      </c>
      <c r="T56" s="7">
        <v>25821.98</v>
      </c>
    </row>
    <row r="57" ht="22.5" customHeight="1">
      <c r="J57" s="21" t="s">
        <v>141</v>
      </c>
      <c r="K57" s="21">
        <v>398.9</v>
      </c>
      <c r="L57" s="21">
        <v>5999.0</v>
      </c>
      <c r="M57" s="21" t="s">
        <v>69</v>
      </c>
      <c r="S57" s="7" t="s">
        <v>187</v>
      </c>
      <c r="T57" s="7">
        <v>20000.0</v>
      </c>
    </row>
    <row r="58" ht="22.5" customHeight="1">
      <c r="J58" s="21" t="s">
        <v>188</v>
      </c>
      <c r="K58" s="21">
        <v>4.0</v>
      </c>
      <c r="L58" s="21">
        <v>16208.0</v>
      </c>
      <c r="M58" s="21" t="s">
        <v>179</v>
      </c>
      <c r="S58" s="7" t="s">
        <v>190</v>
      </c>
      <c r="T58" s="7">
        <v>74652.0</v>
      </c>
    </row>
    <row r="59" ht="22.5" customHeight="1">
      <c r="J59" s="21" t="s">
        <v>146</v>
      </c>
      <c r="K59" s="21">
        <v>15.0</v>
      </c>
      <c r="L59" s="21">
        <v>202298.0</v>
      </c>
      <c r="M59" s="21" t="s">
        <v>44</v>
      </c>
      <c r="T59" s="8">
        <f>T58-T56-T57</f>
        <v>28830.02</v>
      </c>
    </row>
    <row r="60" ht="22.5" customHeight="1">
      <c r="J60" s="25" t="s">
        <v>88</v>
      </c>
      <c r="K60" s="21"/>
      <c r="L60" s="21"/>
      <c r="M60" s="21" t="s">
        <v>179</v>
      </c>
    </row>
    <row r="61" ht="22.5" customHeight="1">
      <c r="J61" s="21" t="s">
        <v>57</v>
      </c>
      <c r="K61" s="21"/>
      <c r="L61" s="21"/>
      <c r="M61" s="21" t="s">
        <v>193</v>
      </c>
    </row>
    <row r="62" ht="22.5" customHeight="1">
      <c r="J62" s="25" t="s">
        <v>90</v>
      </c>
      <c r="K62" s="21"/>
      <c r="L62" s="21"/>
      <c r="M62" s="21" t="s">
        <v>179</v>
      </c>
      <c r="T62" s="7" t="s">
        <v>181</v>
      </c>
    </row>
    <row r="63" ht="22.5" customHeight="1">
      <c r="I63" s="40" t="s">
        <v>194</v>
      </c>
      <c r="J63" s="21" t="s">
        <v>154</v>
      </c>
      <c r="K63" s="21"/>
      <c r="L63" s="21">
        <v>15799.0</v>
      </c>
      <c r="M63" s="21" t="s">
        <v>155</v>
      </c>
      <c r="S63" s="3" t="s">
        <v>245</v>
      </c>
      <c r="T63" s="3">
        <v>15265.0</v>
      </c>
      <c r="U63" s="3" t="s">
        <v>246</v>
      </c>
      <c r="V63" s="3" t="s">
        <v>247</v>
      </c>
    </row>
    <row r="64" ht="22.5" customHeight="1">
      <c r="J64" s="21" t="s">
        <v>39</v>
      </c>
      <c r="K64" s="22"/>
      <c r="L64" s="21">
        <v>29998.0</v>
      </c>
      <c r="M64" s="21" t="s">
        <v>44</v>
      </c>
      <c r="S64" s="3" t="s">
        <v>248</v>
      </c>
      <c r="T64" s="3">
        <v>852.0</v>
      </c>
      <c r="U64" s="3" t="s">
        <v>246</v>
      </c>
    </row>
    <row r="65" ht="22.5" customHeight="1">
      <c r="J65" s="21" t="s">
        <v>46</v>
      </c>
      <c r="K65" s="22"/>
      <c r="L65" s="21">
        <v>36098.0</v>
      </c>
      <c r="M65" s="21" t="s">
        <v>44</v>
      </c>
      <c r="S65" s="3" t="s">
        <v>249</v>
      </c>
      <c r="T65" s="3">
        <v>7200.0</v>
      </c>
      <c r="U65" s="3" t="s">
        <v>246</v>
      </c>
    </row>
    <row r="66" ht="22.5" customHeight="1">
      <c r="J66" s="21" t="s">
        <v>166</v>
      </c>
      <c r="K66" s="21"/>
      <c r="L66" s="21">
        <v>24320.0</v>
      </c>
      <c r="M66" s="21" t="s">
        <v>167</v>
      </c>
    </row>
    <row r="67" ht="22.5" customHeight="1">
      <c r="J67" s="21" t="s">
        <v>42</v>
      </c>
      <c r="K67" s="21"/>
      <c r="L67" s="21">
        <v>61096.0</v>
      </c>
      <c r="M67" s="21" t="s">
        <v>44</v>
      </c>
      <c r="N67" s="36" t="s">
        <v>163</v>
      </c>
    </row>
    <row r="68" ht="22.5" customHeight="1">
      <c r="J68" s="21" t="s">
        <v>76</v>
      </c>
      <c r="K68" s="22"/>
      <c r="L68" s="21">
        <v>160991.0</v>
      </c>
      <c r="M68" s="21" t="s">
        <v>44</v>
      </c>
    </row>
    <row r="69" ht="22.5" customHeight="1">
      <c r="J69" s="21" t="s">
        <v>87</v>
      </c>
      <c r="K69" s="21"/>
      <c r="L69" s="21">
        <v>64996.0</v>
      </c>
      <c r="M69" s="21" t="s">
        <v>158</v>
      </c>
    </row>
    <row r="70" ht="22.5" customHeight="1">
      <c r="J70" s="21" t="s">
        <v>195</v>
      </c>
      <c r="K70" s="34"/>
      <c r="L70" s="34">
        <v>14999.0</v>
      </c>
      <c r="M70" s="34" t="s">
        <v>196</v>
      </c>
    </row>
    <row r="71" ht="22.5" customHeight="1">
      <c r="J71" s="21" t="s">
        <v>94</v>
      </c>
      <c r="K71" s="22"/>
      <c r="L71" s="21">
        <v>30698.0</v>
      </c>
      <c r="M71" s="21" t="s">
        <v>169</v>
      </c>
    </row>
    <row r="72" ht="22.5" customHeight="1">
      <c r="J72" s="21" t="s">
        <v>57</v>
      </c>
      <c r="K72" s="21"/>
      <c r="L72" s="21">
        <v>70996.0</v>
      </c>
      <c r="M72" s="21" t="s">
        <v>151</v>
      </c>
    </row>
    <row r="73" ht="22.5" customHeight="1">
      <c r="J73" s="21" t="s">
        <v>112</v>
      </c>
      <c r="K73" s="22"/>
      <c r="L73" s="22"/>
      <c r="M73" s="21" t="s">
        <v>211</v>
      </c>
    </row>
    <row r="74" ht="22.5" customHeight="1">
      <c r="J74" s="21" t="s">
        <v>170</v>
      </c>
      <c r="K74" s="21"/>
      <c r="L74" s="21">
        <v>4999.0</v>
      </c>
      <c r="M74" s="21" t="s">
        <v>69</v>
      </c>
      <c r="N74" s="42"/>
    </row>
    <row r="75" ht="22.5" customHeight="1">
      <c r="J75" s="25" t="s">
        <v>88</v>
      </c>
      <c r="K75" s="22"/>
      <c r="L75" s="21">
        <v>96995.0</v>
      </c>
      <c r="M75" s="21" t="s">
        <v>44</v>
      </c>
      <c r="N75" s="42"/>
    </row>
    <row r="76" ht="22.5" customHeight="1">
      <c r="J76" s="25" t="s">
        <v>90</v>
      </c>
      <c r="K76" s="22"/>
      <c r="L76" s="21">
        <v>69996.0</v>
      </c>
      <c r="M76" s="21" t="s">
        <v>179</v>
      </c>
      <c r="N76" s="42"/>
    </row>
    <row r="83">
      <c r="J83" s="9" t="s">
        <v>208</v>
      </c>
      <c r="K83" s="9" t="s">
        <v>10</v>
      </c>
      <c r="L83" s="10" t="s">
        <v>11</v>
      </c>
    </row>
    <row r="84">
      <c r="J84" s="3">
        <v>728128.0</v>
      </c>
      <c r="K84" s="3">
        <v>942951.0</v>
      </c>
      <c r="L84" s="12">
        <f>(K84-J84)/J84*100</f>
        <v>29.50346642</v>
      </c>
    </row>
    <row r="87">
      <c r="J87" s="43" t="s">
        <v>22</v>
      </c>
      <c r="K87" s="43" t="s">
        <v>23</v>
      </c>
      <c r="L87" s="43" t="s">
        <v>24</v>
      </c>
      <c r="M87" s="43" t="s">
        <v>125</v>
      </c>
    </row>
    <row r="88">
      <c r="J88" s="27" t="s">
        <v>175</v>
      </c>
      <c r="K88" s="27"/>
      <c r="L88" s="27">
        <v>31398.0</v>
      </c>
      <c r="M88" s="27" t="s">
        <v>176</v>
      </c>
    </row>
    <row r="89">
      <c r="J89" s="27" t="s">
        <v>183</v>
      </c>
      <c r="K89" s="27"/>
      <c r="L89" s="27">
        <v>140993.0</v>
      </c>
      <c r="M89" s="27" t="s">
        <v>185</v>
      </c>
    </row>
    <row r="90">
      <c r="J90" s="7" t="s">
        <v>191</v>
      </c>
      <c r="K90" s="7"/>
      <c r="L90" s="7">
        <v>15999.0</v>
      </c>
      <c r="M90" s="7" t="s">
        <v>192</v>
      </c>
    </row>
    <row r="96">
      <c r="I96" s="45" t="s">
        <v>250</v>
      </c>
    </row>
    <row r="98">
      <c r="J98" s="46" t="s">
        <v>208</v>
      </c>
      <c r="K98" s="46" t="s">
        <v>251</v>
      </c>
      <c r="L98" s="47" t="s">
        <v>11</v>
      </c>
      <c r="M98" s="26"/>
    </row>
    <row r="99">
      <c r="I99" s="7" t="s">
        <v>252</v>
      </c>
      <c r="J99" s="48">
        <v>207.44</v>
      </c>
      <c r="K99" s="48">
        <v>204.44</v>
      </c>
      <c r="L99" s="49">
        <f t="shared" ref="L99:L100" si="2">(K99-J99)/J99*100</f>
        <v>-1.446201311</v>
      </c>
      <c r="M99" s="26"/>
    </row>
    <row r="100">
      <c r="I100" s="7" t="s">
        <v>253</v>
      </c>
      <c r="J100" s="7">
        <v>19914.0</v>
      </c>
      <c r="K100" s="7">
        <v>19455.0</v>
      </c>
      <c r="L100" s="49">
        <f t="shared" si="2"/>
        <v>-2.304911118</v>
      </c>
      <c r="M100" s="7"/>
    </row>
    <row r="101">
      <c r="J101" s="7" t="s">
        <v>254</v>
      </c>
      <c r="K101" s="7" t="s">
        <v>255</v>
      </c>
      <c r="L101" s="7" t="s">
        <v>256</v>
      </c>
      <c r="M101" s="7" t="s">
        <v>257</v>
      </c>
    </row>
    <row r="102">
      <c r="J102" s="7" t="s">
        <v>258</v>
      </c>
      <c r="K102" s="7">
        <v>0.404178</v>
      </c>
      <c r="L102" s="48">
        <v>153.54</v>
      </c>
      <c r="M102" s="48">
        <v>152.72</v>
      </c>
    </row>
    <row r="103">
      <c r="J103" s="7" t="s">
        <v>259</v>
      </c>
      <c r="K103" s="7">
        <v>0.16094</v>
      </c>
      <c r="L103" s="48">
        <v>29.9</v>
      </c>
      <c r="M103" s="48">
        <v>28.74</v>
      </c>
    </row>
    <row r="104">
      <c r="J104" s="7" t="s">
        <v>260</v>
      </c>
      <c r="K104" s="7">
        <v>0.584423</v>
      </c>
      <c r="L104" s="48">
        <v>19.93</v>
      </c>
      <c r="M104" s="48">
        <v>18.91</v>
      </c>
    </row>
    <row r="105">
      <c r="J105" s="7" t="s">
        <v>261</v>
      </c>
      <c r="K105" s="7">
        <v>0.018617</v>
      </c>
      <c r="L105" s="48">
        <v>4.07</v>
      </c>
      <c r="M105" s="48">
        <v>4.08</v>
      </c>
    </row>
  </sheetData>
  <mergeCells count="14">
    <mergeCell ref="P32:Q32"/>
    <mergeCell ref="P36:Q36"/>
    <mergeCell ref="P40:Q40"/>
    <mergeCell ref="P44:Q44"/>
    <mergeCell ref="J48:N48"/>
    <mergeCell ref="P48:Q48"/>
    <mergeCell ref="P52:Q52"/>
    <mergeCell ref="J1:N1"/>
    <mergeCell ref="T2:T7"/>
    <mergeCell ref="P9:Q9"/>
    <mergeCell ref="P14:Q14"/>
    <mergeCell ref="P18:Q18"/>
    <mergeCell ref="P23:Q23"/>
    <mergeCell ref="P28:Q28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6.13"/>
    <col customWidth="1" min="4" max="4" width="12.63"/>
    <col customWidth="1" min="5" max="5" width="25.88"/>
    <col customWidth="1" min="10" max="10" width="34.25"/>
    <col customWidth="1" min="12" max="12" width="19.13"/>
    <col customWidth="1" min="13" max="13" width="37.13"/>
    <col customWidth="1" min="16" max="16" width="26.75"/>
    <col customWidth="1" min="17" max="17" width="13.0"/>
    <col customWidth="1" min="21" max="21" width="42.88"/>
  </cols>
  <sheetData>
    <row r="1">
      <c r="A1" s="1"/>
      <c r="B1" s="2" t="s">
        <v>0</v>
      </c>
      <c r="C1" s="2" t="s">
        <v>197</v>
      </c>
      <c r="D1" s="2" t="s">
        <v>1</v>
      </c>
      <c r="E1" s="2" t="s">
        <v>2</v>
      </c>
      <c r="G1" s="3" t="s">
        <v>3</v>
      </c>
      <c r="H1" s="3" t="s">
        <v>4</v>
      </c>
      <c r="J1" s="4" t="s">
        <v>5</v>
      </c>
      <c r="K1" s="5"/>
      <c r="L1" s="5"/>
      <c r="M1" s="5"/>
      <c r="N1" s="6"/>
    </row>
    <row r="2">
      <c r="A2" s="1"/>
      <c r="B2" s="13">
        <f>144406+B3</f>
        <v>418106</v>
      </c>
      <c r="C2" s="13"/>
      <c r="D2" s="13">
        <f>169666+D3</f>
        <v>278770</v>
      </c>
      <c r="E2" s="26"/>
      <c r="F2" s="8">
        <f>B2-B3</f>
        <v>144406</v>
      </c>
      <c r="J2" s="9" t="s">
        <v>262</v>
      </c>
      <c r="K2" s="9" t="s">
        <v>10</v>
      </c>
      <c r="L2" s="10" t="s">
        <v>11</v>
      </c>
      <c r="M2" s="11"/>
      <c r="N2" s="11"/>
      <c r="T2" s="3" t="s">
        <v>12</v>
      </c>
      <c r="U2" s="3" t="s">
        <v>13</v>
      </c>
    </row>
    <row r="3">
      <c r="A3" s="2" t="s">
        <v>14</v>
      </c>
      <c r="B3" s="13">
        <v>273700.0</v>
      </c>
      <c r="C3" s="2"/>
      <c r="D3" s="2">
        <v>109104.0</v>
      </c>
      <c r="E3" s="2"/>
      <c r="F3" s="3">
        <v>53726.0</v>
      </c>
      <c r="H3" s="8">
        <f>-(B4+B8+B9+B10+B11+B14+D12+D10+D4)</f>
        <v>141000</v>
      </c>
      <c r="J3" s="20">
        <v>6066482.0</v>
      </c>
      <c r="K3" s="20">
        <v>8289814.0</v>
      </c>
      <c r="L3" s="12">
        <f>(K3-J3)/J3*100</f>
        <v>36.64944526</v>
      </c>
      <c r="M3" s="11"/>
      <c r="N3" s="11"/>
      <c r="U3" s="3" t="s">
        <v>16</v>
      </c>
      <c r="V3" s="3" t="s">
        <v>200</v>
      </c>
    </row>
    <row r="4">
      <c r="A4" s="13" t="s">
        <v>214</v>
      </c>
      <c r="B4" s="13">
        <v>-10000.0</v>
      </c>
      <c r="C4" s="13" t="s">
        <v>263</v>
      </c>
      <c r="D4" s="13"/>
      <c r="E4" s="26">
        <f>B20+B19+B18+B17+B11+B9+B7</f>
        <v>-196000</v>
      </c>
      <c r="F4" s="8">
        <f>-(B4)-D4</f>
        <v>10000</v>
      </c>
      <c r="M4" s="11"/>
      <c r="N4" s="11"/>
      <c r="U4" s="3" t="s">
        <v>20</v>
      </c>
    </row>
    <row r="5" ht="22.5" customHeight="1">
      <c r="A5" s="13" t="s">
        <v>201</v>
      </c>
      <c r="B5" s="13">
        <v>-2500.0</v>
      </c>
      <c r="C5" s="13" t="s">
        <v>265</v>
      </c>
      <c r="D5" s="1"/>
      <c r="E5" s="1">
        <f>229787-55000-2000</f>
        <v>172787</v>
      </c>
      <c r="F5" s="8">
        <f>-(B7)-D7</f>
        <v>154000</v>
      </c>
      <c r="J5" s="16" t="s">
        <v>22</v>
      </c>
      <c r="K5" s="16" t="s">
        <v>23</v>
      </c>
      <c r="L5" s="16" t="s">
        <v>24</v>
      </c>
      <c r="M5" s="17" t="s">
        <v>28</v>
      </c>
      <c r="N5" s="11"/>
      <c r="U5" s="3" t="s">
        <v>25</v>
      </c>
    </row>
    <row r="6" ht="22.5" customHeight="1">
      <c r="A6" s="13" t="s">
        <v>202</v>
      </c>
      <c r="B6" s="13">
        <v>0.0</v>
      </c>
      <c r="C6" s="13"/>
      <c r="D6" s="1"/>
      <c r="E6" s="13" t="s">
        <v>18</v>
      </c>
      <c r="F6" s="8">
        <f>-(B8)-D12</f>
        <v>54000</v>
      </c>
      <c r="G6" s="8">
        <f>5000+3000</f>
        <v>8000</v>
      </c>
      <c r="J6" s="21" t="s">
        <v>39</v>
      </c>
      <c r="K6" s="22"/>
      <c r="L6" s="22"/>
      <c r="M6" s="21" t="s">
        <v>44</v>
      </c>
      <c r="N6" s="11"/>
      <c r="U6" s="3" t="s">
        <v>29</v>
      </c>
    </row>
    <row r="7" ht="22.5" customHeight="1">
      <c r="A7" s="13" t="s">
        <v>21</v>
      </c>
      <c r="B7" s="13">
        <f>-81000</f>
        <v>-81000</v>
      </c>
      <c r="C7" s="13"/>
      <c r="D7" s="13">
        <v>-73000.0</v>
      </c>
      <c r="E7" s="13">
        <f>46500+79500</f>
        <v>126000</v>
      </c>
      <c r="F7" s="8">
        <f t="shared" ref="F7:F9" si="1">-(B9)-D9</f>
        <v>55000</v>
      </c>
      <c r="J7" s="21" t="s">
        <v>46</v>
      </c>
      <c r="K7" s="21"/>
      <c r="L7" s="21"/>
      <c r="M7" s="21" t="s">
        <v>44</v>
      </c>
      <c r="N7" s="11"/>
      <c r="V7" s="3" t="s">
        <v>35</v>
      </c>
    </row>
    <row r="8" ht="22.5" customHeight="1">
      <c r="A8" s="13" t="s">
        <v>26</v>
      </c>
      <c r="B8" s="13">
        <v>-20000.0</v>
      </c>
      <c r="C8" s="13" t="s">
        <v>266</v>
      </c>
      <c r="E8" s="13"/>
      <c r="F8" s="8">
        <f t="shared" si="1"/>
        <v>7000</v>
      </c>
      <c r="J8" s="25" t="s">
        <v>31</v>
      </c>
      <c r="K8" s="21"/>
      <c r="L8" s="21"/>
      <c r="M8" s="21" t="s">
        <v>59</v>
      </c>
      <c r="N8" s="20"/>
      <c r="U8" s="3" t="s">
        <v>40</v>
      </c>
    </row>
    <row r="9" ht="22.5" customHeight="1">
      <c r="A9" s="13" t="s">
        <v>72</v>
      </c>
      <c r="B9" s="13">
        <v>-55000.0</v>
      </c>
      <c r="C9" s="13"/>
      <c r="D9" s="13"/>
      <c r="E9" s="13" t="s">
        <v>207</v>
      </c>
      <c r="F9" s="8">
        <f t="shared" si="1"/>
        <v>8000</v>
      </c>
      <c r="J9" s="21" t="s">
        <v>38</v>
      </c>
      <c r="K9" s="21"/>
      <c r="L9" s="21"/>
      <c r="M9" s="21" t="s">
        <v>69</v>
      </c>
      <c r="P9" s="23" t="s">
        <v>43</v>
      </c>
      <c r="Q9" s="6"/>
    </row>
    <row r="10" ht="22.5" customHeight="1">
      <c r="A10" s="13" t="s">
        <v>36</v>
      </c>
      <c r="B10" s="13"/>
      <c r="C10" s="13"/>
      <c r="D10" s="13">
        <v>-7000.0</v>
      </c>
      <c r="E10" s="13"/>
      <c r="J10" s="21" t="s">
        <v>42</v>
      </c>
      <c r="K10" s="21"/>
      <c r="L10" s="21"/>
      <c r="M10" s="21" t="s">
        <v>44</v>
      </c>
      <c r="P10" s="7" t="s">
        <v>49</v>
      </c>
      <c r="Q10" s="7" t="s">
        <v>50</v>
      </c>
    </row>
    <row r="11" ht="22.5" customHeight="1">
      <c r="A11" s="13" t="s">
        <v>225</v>
      </c>
      <c r="B11" s="13">
        <v>-7000.0</v>
      </c>
      <c r="C11" s="13" t="s">
        <v>209</v>
      </c>
      <c r="D11" s="13">
        <v>-1000.0</v>
      </c>
      <c r="E11" s="13" t="s">
        <v>207</v>
      </c>
      <c r="F11" s="8">
        <f t="shared" ref="F11:F16" si="2">-(B13)-D13</f>
        <v>18000</v>
      </c>
      <c r="J11" s="21" t="s">
        <v>76</v>
      </c>
      <c r="K11" s="22"/>
      <c r="L11" s="22"/>
      <c r="M11" s="21" t="s">
        <v>79</v>
      </c>
      <c r="P11" s="10">
        <v>0.0</v>
      </c>
      <c r="Q11" s="7">
        <v>0.0</v>
      </c>
    </row>
    <row r="12" ht="22.5" customHeight="1">
      <c r="A12" s="13" t="s">
        <v>45</v>
      </c>
      <c r="B12" s="13">
        <v>0.0</v>
      </c>
      <c r="C12" s="13"/>
      <c r="D12" s="13">
        <v>-34000.0</v>
      </c>
      <c r="E12" s="13"/>
      <c r="F12" s="8">
        <f t="shared" si="2"/>
        <v>8000</v>
      </c>
      <c r="J12" s="21" t="s">
        <v>210</v>
      </c>
      <c r="K12" s="22"/>
      <c r="L12" s="22"/>
      <c r="M12" s="21" t="s">
        <v>211</v>
      </c>
    </row>
    <row r="13" ht="22.5" customHeight="1">
      <c r="A13" s="13" t="s">
        <v>51</v>
      </c>
      <c r="B13" s="13">
        <v>-8000.0</v>
      </c>
      <c r="C13" s="13" t="s">
        <v>212</v>
      </c>
      <c r="D13" s="13">
        <v>-10000.0</v>
      </c>
      <c r="E13" s="13" t="s">
        <v>18</v>
      </c>
      <c r="F13" s="8">
        <f t="shared" si="2"/>
        <v>318</v>
      </c>
      <c r="J13" s="21" t="s">
        <v>47</v>
      </c>
      <c r="K13" s="21"/>
      <c r="L13" s="21"/>
      <c r="M13" s="21" t="s">
        <v>48</v>
      </c>
      <c r="U13" s="3" t="s">
        <v>60</v>
      </c>
    </row>
    <row r="14" ht="22.5" customHeight="1">
      <c r="A14" s="13" t="s">
        <v>53</v>
      </c>
      <c r="B14" s="13">
        <v>-8000.0</v>
      </c>
      <c r="C14" s="13" t="s">
        <v>213</v>
      </c>
      <c r="D14" s="13"/>
      <c r="E14" s="13" t="s">
        <v>18</v>
      </c>
      <c r="F14" s="8">
        <f t="shared" si="2"/>
        <v>500</v>
      </c>
      <c r="J14" s="21" t="s">
        <v>87</v>
      </c>
      <c r="K14" s="22"/>
      <c r="L14" s="22"/>
      <c r="M14" s="21" t="s">
        <v>92</v>
      </c>
      <c r="P14" s="23" t="s">
        <v>64</v>
      </c>
      <c r="Q14" s="6"/>
      <c r="R14" s="3" t="s">
        <v>65</v>
      </c>
      <c r="U14" s="3" t="s">
        <v>66</v>
      </c>
    </row>
    <row r="15" ht="22.5" customHeight="1">
      <c r="A15" s="13" t="s">
        <v>56</v>
      </c>
      <c r="B15" s="13">
        <v>-318.0</v>
      </c>
      <c r="C15" s="13" t="s">
        <v>18</v>
      </c>
      <c r="D15" s="1"/>
      <c r="E15" s="13"/>
      <c r="F15" s="8">
        <f t="shared" si="2"/>
        <v>3000</v>
      </c>
      <c r="G15" s="3">
        <v>100000.0</v>
      </c>
      <c r="J15" s="21" t="s">
        <v>215</v>
      </c>
      <c r="K15" s="22"/>
      <c r="L15" s="22"/>
      <c r="M15" s="21" t="s">
        <v>178</v>
      </c>
      <c r="P15" s="7" t="s">
        <v>71</v>
      </c>
      <c r="Q15" s="7" t="s">
        <v>50</v>
      </c>
      <c r="R15" s="3" t="s">
        <v>113</v>
      </c>
    </row>
    <row r="16" ht="22.5" customHeight="1">
      <c r="A16" s="13" t="s">
        <v>61</v>
      </c>
      <c r="B16" s="13">
        <v>-500.0</v>
      </c>
      <c r="C16" s="13" t="s">
        <v>18</v>
      </c>
      <c r="D16" s="13"/>
      <c r="E16" s="13"/>
      <c r="F16" s="8">
        <f t="shared" si="2"/>
        <v>30000</v>
      </c>
      <c r="J16" s="21" t="s">
        <v>94</v>
      </c>
      <c r="K16" s="22"/>
      <c r="L16" s="22"/>
      <c r="M16" s="21" t="s">
        <v>63</v>
      </c>
      <c r="P16" s="7">
        <v>374742.0</v>
      </c>
      <c r="Q16" s="7">
        <f>66541+290842</f>
        <v>357383</v>
      </c>
      <c r="R16" s="8">
        <f>P16-Q16</f>
        <v>17359</v>
      </c>
      <c r="S16" s="3" t="s">
        <v>74</v>
      </c>
      <c r="T16" s="3" t="s">
        <v>75</v>
      </c>
      <c r="U16" s="3">
        <f>460000+230000+Q16</f>
        <v>1047383</v>
      </c>
    </row>
    <row r="17" ht="22.5" customHeight="1">
      <c r="A17" s="13" t="s">
        <v>67</v>
      </c>
      <c r="B17" s="13">
        <v>-3000.0</v>
      </c>
      <c r="C17" s="13" t="s">
        <v>216</v>
      </c>
      <c r="D17" s="1"/>
      <c r="E17" s="13" t="s">
        <v>207</v>
      </c>
      <c r="J17" s="21" t="s">
        <v>52</v>
      </c>
      <c r="K17" s="21"/>
      <c r="L17" s="21"/>
      <c r="M17" s="21" t="s">
        <v>48</v>
      </c>
      <c r="U17" s="8">
        <f>P16-U16</f>
        <v>-672641</v>
      </c>
    </row>
    <row r="18" ht="22.5" customHeight="1">
      <c r="A18" s="13" t="s">
        <v>217</v>
      </c>
      <c r="B18" s="13">
        <v>-30000.0</v>
      </c>
      <c r="C18" s="13" t="s">
        <v>219</v>
      </c>
      <c r="D18" s="1"/>
      <c r="E18" s="13" t="s">
        <v>207</v>
      </c>
      <c r="J18" s="21" t="s">
        <v>115</v>
      </c>
      <c r="K18" s="22"/>
      <c r="L18" s="22"/>
      <c r="M18" s="21" t="s">
        <v>118</v>
      </c>
      <c r="P18" s="23" t="s">
        <v>81</v>
      </c>
      <c r="Q18" s="6"/>
    </row>
    <row r="19" ht="22.5" customHeight="1">
      <c r="A19" s="13" t="s">
        <v>78</v>
      </c>
      <c r="B19" s="13"/>
      <c r="C19" s="13" t="s">
        <v>220</v>
      </c>
      <c r="D19" s="1"/>
      <c r="E19" s="13" t="s">
        <v>207</v>
      </c>
      <c r="J19" s="21" t="s">
        <v>54</v>
      </c>
      <c r="K19" s="21"/>
      <c r="L19" s="21"/>
      <c r="M19" s="21" t="s">
        <v>122</v>
      </c>
      <c r="P19" s="7" t="s">
        <v>71</v>
      </c>
      <c r="Q19" s="7" t="s">
        <v>50</v>
      </c>
    </row>
    <row r="20" ht="22.5" customHeight="1">
      <c r="A20" s="13" t="s">
        <v>221</v>
      </c>
      <c r="B20" s="13">
        <f>-5000-15000</f>
        <v>-20000</v>
      </c>
      <c r="C20" s="13" t="s">
        <v>222</v>
      </c>
      <c r="D20" s="13"/>
      <c r="E20" s="13" t="s">
        <v>207</v>
      </c>
      <c r="J20" s="21" t="s">
        <v>57</v>
      </c>
      <c r="K20" s="21"/>
      <c r="L20" s="21"/>
      <c r="M20" s="21" t="s">
        <v>58</v>
      </c>
      <c r="P20" s="3">
        <v>900.0</v>
      </c>
      <c r="Q20" s="3">
        <v>0.0</v>
      </c>
    </row>
    <row r="21" ht="22.5" customHeight="1">
      <c r="A21" s="13" t="s">
        <v>124</v>
      </c>
      <c r="B21" s="13"/>
      <c r="C21" s="13" t="s">
        <v>223</v>
      </c>
      <c r="D21" s="1"/>
      <c r="E21" s="13">
        <v>12500.0</v>
      </c>
      <c r="J21" s="25" t="s">
        <v>68</v>
      </c>
      <c r="K21" s="21"/>
      <c r="L21" s="21"/>
      <c r="M21" s="21" t="s">
        <v>70</v>
      </c>
      <c r="P21" s="20"/>
      <c r="Q21" s="20"/>
      <c r="R21" s="20"/>
      <c r="S21" s="20"/>
    </row>
    <row r="22" ht="22.5" customHeight="1">
      <c r="A22" s="13" t="s">
        <v>235</v>
      </c>
      <c r="B22" s="13"/>
      <c r="C22" s="13"/>
      <c r="D22" s="13">
        <v>8031.0</v>
      </c>
      <c r="E22" s="1"/>
      <c r="J22" s="34" t="s">
        <v>62</v>
      </c>
      <c r="K22" s="21"/>
      <c r="L22" s="21"/>
      <c r="M22" s="21" t="s">
        <v>129</v>
      </c>
      <c r="P22" s="20"/>
      <c r="Q22" s="20"/>
      <c r="R22" s="20"/>
      <c r="S22" s="20"/>
    </row>
    <row r="23" ht="22.5" customHeight="1">
      <c r="A23" s="13" t="s">
        <v>86</v>
      </c>
      <c r="B23" s="1">
        <f>SUM(B3:B22)</f>
        <v>28382</v>
      </c>
      <c r="C23" s="1"/>
      <c r="D23" s="1">
        <f>SUM(D3:D22)</f>
        <v>-7865</v>
      </c>
      <c r="E23" s="1"/>
      <c r="J23" s="21" t="s">
        <v>73</v>
      </c>
      <c r="K23" s="21"/>
      <c r="L23" s="21"/>
      <c r="M23" s="21" t="s">
        <v>131</v>
      </c>
      <c r="P23" s="23" t="s">
        <v>91</v>
      </c>
      <c r="Q23" s="6"/>
      <c r="R23" s="20"/>
      <c r="S23" s="20"/>
    </row>
    <row r="24" ht="22.5" customHeight="1">
      <c r="J24" s="21" t="s">
        <v>77</v>
      </c>
      <c r="K24" s="21"/>
      <c r="L24" s="21"/>
      <c r="M24" s="21" t="s">
        <v>131</v>
      </c>
      <c r="P24" s="7" t="s">
        <v>71</v>
      </c>
      <c r="Q24" s="7" t="s">
        <v>50</v>
      </c>
      <c r="R24" s="20" t="s">
        <v>233</v>
      </c>
      <c r="S24" s="20"/>
    </row>
    <row r="25" ht="22.5" customHeight="1">
      <c r="J25" s="25" t="s">
        <v>134</v>
      </c>
      <c r="K25" s="21"/>
      <c r="L25" s="21"/>
      <c r="M25" s="21" t="s">
        <v>136</v>
      </c>
      <c r="P25" s="3">
        <f>51056+16000</f>
        <v>67056</v>
      </c>
      <c r="Q25" s="8">
        <f>94213+14842</f>
        <v>109055</v>
      </c>
      <c r="R25" s="20" t="s">
        <v>99</v>
      </c>
      <c r="S25" s="20" t="s">
        <v>100</v>
      </c>
      <c r="T25" s="3" t="s">
        <v>234</v>
      </c>
    </row>
    <row r="26" ht="22.5" customHeight="1">
      <c r="J26" s="25" t="s">
        <v>137</v>
      </c>
      <c r="K26" s="21"/>
      <c r="L26" s="21"/>
      <c r="M26" s="21" t="s">
        <v>131</v>
      </c>
      <c r="Q26" s="20"/>
      <c r="R26" s="20"/>
      <c r="S26" s="20"/>
    </row>
    <row r="27" ht="22.5" customHeight="1">
      <c r="J27" s="21" t="s">
        <v>112</v>
      </c>
      <c r="K27" s="22"/>
      <c r="L27" s="22"/>
      <c r="M27" s="21" t="s">
        <v>44</v>
      </c>
      <c r="Q27" s="20"/>
      <c r="R27" s="20"/>
      <c r="S27" s="20"/>
    </row>
    <row r="28" ht="22.5" customHeight="1">
      <c r="J28" s="25" t="s">
        <v>85</v>
      </c>
      <c r="K28" s="21"/>
      <c r="L28" s="21"/>
      <c r="M28" s="21" t="s">
        <v>131</v>
      </c>
      <c r="P28" s="23" t="s">
        <v>106</v>
      </c>
      <c r="Q28" s="6"/>
      <c r="R28" s="20" t="s">
        <v>108</v>
      </c>
      <c r="S28" s="20"/>
    </row>
    <row r="29" ht="22.5" customHeight="1">
      <c r="J29" s="25" t="s">
        <v>88</v>
      </c>
      <c r="K29" s="21"/>
      <c r="L29" s="21"/>
      <c r="M29" s="21" t="s">
        <v>131</v>
      </c>
      <c r="P29" s="7" t="s">
        <v>71</v>
      </c>
      <c r="Q29" s="7" t="s">
        <v>50</v>
      </c>
      <c r="R29" s="20"/>
      <c r="S29" s="20" t="s">
        <v>268</v>
      </c>
    </row>
    <row r="30" ht="22.5" customHeight="1">
      <c r="J30" s="21" t="s">
        <v>227</v>
      </c>
      <c r="K30" s="22"/>
      <c r="L30" s="22"/>
      <c r="M30" s="21" t="s">
        <v>228</v>
      </c>
      <c r="P30" s="7">
        <f>B2</f>
        <v>418106</v>
      </c>
      <c r="Q30" s="7">
        <f>E5+55000</f>
        <v>227787</v>
      </c>
      <c r="R30" s="20">
        <f>P30-Q30</f>
        <v>190319</v>
      </c>
      <c r="S30" s="20" t="s">
        <v>230</v>
      </c>
      <c r="T30" s="3" t="s">
        <v>269</v>
      </c>
    </row>
    <row r="31" ht="22.5" customHeight="1">
      <c r="J31" s="21" t="s">
        <v>89</v>
      </c>
      <c r="K31" s="21"/>
      <c r="L31" s="21"/>
      <c r="M31" s="21" t="s">
        <v>33</v>
      </c>
      <c r="Q31" s="20"/>
      <c r="R31" s="20"/>
      <c r="S31" s="20"/>
    </row>
    <row r="32" ht="22.5" customHeight="1">
      <c r="J32" s="25" t="s">
        <v>90</v>
      </c>
      <c r="K32" s="21"/>
      <c r="L32" s="21"/>
      <c r="M32" s="21" t="s">
        <v>131</v>
      </c>
      <c r="P32" s="23" t="s">
        <v>117</v>
      </c>
      <c r="Q32" s="6"/>
      <c r="R32" s="20"/>
      <c r="S32" s="20"/>
    </row>
    <row r="33" ht="22.5" customHeight="1">
      <c r="J33" s="21" t="s">
        <v>93</v>
      </c>
      <c r="K33" s="21"/>
      <c r="L33" s="37"/>
      <c r="M33" s="21" t="s">
        <v>150</v>
      </c>
      <c r="P33" s="7" t="s">
        <v>71</v>
      </c>
      <c r="Q33" s="7" t="s">
        <v>50</v>
      </c>
      <c r="R33" s="20"/>
      <c r="S33" s="20"/>
    </row>
    <row r="34" ht="22.5" customHeight="1">
      <c r="J34" s="38" t="s">
        <v>97</v>
      </c>
      <c r="K34" s="21"/>
      <c r="L34" s="37"/>
      <c r="M34" s="21" t="s">
        <v>131</v>
      </c>
      <c r="P34" s="7">
        <v>20425.0</v>
      </c>
      <c r="Q34" s="7">
        <v>20425.0</v>
      </c>
      <c r="R34" s="3" t="s">
        <v>121</v>
      </c>
      <c r="S34" s="20"/>
    </row>
    <row r="35" ht="22.5" customHeight="1">
      <c r="J35" s="21" t="s">
        <v>103</v>
      </c>
      <c r="K35" s="21"/>
      <c r="L35" s="21"/>
      <c r="M35" s="21" t="s">
        <v>131</v>
      </c>
    </row>
    <row r="36" ht="22.5" customHeight="1">
      <c r="J36" s="25" t="s">
        <v>243</v>
      </c>
      <c r="K36" s="22"/>
      <c r="L36" s="37"/>
      <c r="M36" s="21" t="s">
        <v>270</v>
      </c>
      <c r="P36" s="23" t="s">
        <v>123</v>
      </c>
      <c r="Q36" s="6"/>
    </row>
    <row r="37" ht="22.5" customHeight="1">
      <c r="J37" s="25" t="s">
        <v>104</v>
      </c>
      <c r="K37" s="22"/>
      <c r="L37" s="37"/>
      <c r="M37" s="21" t="s">
        <v>131</v>
      </c>
      <c r="P37" s="7" t="s">
        <v>71</v>
      </c>
      <c r="Q37" s="7" t="s">
        <v>50</v>
      </c>
    </row>
    <row r="38">
      <c r="P38" s="7">
        <f>6354+15000</f>
        <v>21354</v>
      </c>
      <c r="Q38" s="3">
        <v>5000.0</v>
      </c>
    </row>
    <row r="40">
      <c r="P40" s="23" t="s">
        <v>130</v>
      </c>
      <c r="Q40" s="6"/>
    </row>
    <row r="41">
      <c r="P41" s="7" t="s">
        <v>71</v>
      </c>
      <c r="Q41" s="7" t="s">
        <v>50</v>
      </c>
      <c r="R41" s="3" t="s">
        <v>271</v>
      </c>
      <c r="S41" s="3" t="s">
        <v>272</v>
      </c>
    </row>
    <row r="42">
      <c r="P42" s="8">
        <f>56753+242400</f>
        <v>299153</v>
      </c>
      <c r="Q42" s="3">
        <v>183696.0</v>
      </c>
      <c r="R42" s="3" t="s">
        <v>138</v>
      </c>
      <c r="S42" s="3" t="s">
        <v>241</v>
      </c>
    </row>
    <row r="44">
      <c r="P44" s="23" t="s">
        <v>145</v>
      </c>
      <c r="Q44" s="6"/>
    </row>
    <row r="45">
      <c r="P45" s="7" t="s">
        <v>71</v>
      </c>
      <c r="Q45" s="7" t="s">
        <v>50</v>
      </c>
      <c r="R45" s="3" t="s">
        <v>273</v>
      </c>
      <c r="T45" s="3" t="s">
        <v>242</v>
      </c>
    </row>
    <row r="46">
      <c r="P46" s="7">
        <f>D2</f>
        <v>278770</v>
      </c>
      <c r="Q46" s="7">
        <v>280972.0</v>
      </c>
      <c r="R46" s="3" t="s">
        <v>148</v>
      </c>
      <c r="S46" s="3" t="s">
        <v>149</v>
      </c>
      <c r="T46" s="3" t="s">
        <v>239</v>
      </c>
    </row>
    <row r="48">
      <c r="J48" s="4" t="s">
        <v>119</v>
      </c>
      <c r="K48" s="5"/>
      <c r="L48" s="5"/>
      <c r="M48" s="5"/>
      <c r="N48" s="6"/>
      <c r="P48" s="23" t="s">
        <v>152</v>
      </c>
      <c r="Q48" s="6"/>
    </row>
    <row r="49">
      <c r="J49" s="9" t="s">
        <v>262</v>
      </c>
      <c r="K49" s="9" t="s">
        <v>10</v>
      </c>
      <c r="L49" s="10" t="s">
        <v>11</v>
      </c>
      <c r="M49" s="11"/>
      <c r="N49" s="11"/>
      <c r="P49" s="7" t="s">
        <v>71</v>
      </c>
      <c r="Q49" s="7" t="s">
        <v>50</v>
      </c>
    </row>
    <row r="50">
      <c r="J50" s="3">
        <v>1388722.0</v>
      </c>
      <c r="K50" s="3">
        <v>1475814.0</v>
      </c>
      <c r="L50" s="12">
        <f>(K50-J50)/J50*100</f>
        <v>6.271377569</v>
      </c>
      <c r="M50" s="11"/>
      <c r="N50" s="11"/>
      <c r="P50" s="7">
        <v>36107.0</v>
      </c>
      <c r="Q50" s="7">
        <f>70633+435</f>
        <v>71068</v>
      </c>
      <c r="R50" s="3" t="s">
        <v>274</v>
      </c>
    </row>
    <row r="51">
      <c r="J51" s="11"/>
      <c r="K51" s="11"/>
      <c r="L51" s="11"/>
      <c r="M51" s="11"/>
      <c r="N51" s="11"/>
    </row>
    <row r="52" ht="22.5" customHeight="1">
      <c r="J52" s="16" t="s">
        <v>22</v>
      </c>
      <c r="K52" s="16" t="s">
        <v>23</v>
      </c>
      <c r="L52" s="16" t="s">
        <v>24</v>
      </c>
      <c r="M52" s="16" t="s">
        <v>125</v>
      </c>
      <c r="N52" s="33" t="s">
        <v>126</v>
      </c>
      <c r="P52" s="23" t="s">
        <v>160</v>
      </c>
      <c r="Q52" s="6"/>
    </row>
    <row r="53" ht="22.5" customHeight="1">
      <c r="I53" s="40" t="s">
        <v>173</v>
      </c>
      <c r="J53" s="21" t="s">
        <v>47</v>
      </c>
      <c r="K53" s="21">
        <v>9.9</v>
      </c>
      <c r="L53" s="21">
        <v>4999.0</v>
      </c>
      <c r="M53" s="21" t="s">
        <v>174</v>
      </c>
      <c r="N53" s="35"/>
      <c r="P53" s="7" t="s">
        <v>71</v>
      </c>
      <c r="Q53" s="7" t="s">
        <v>50</v>
      </c>
    </row>
    <row r="54" ht="22.5" customHeight="1">
      <c r="J54" s="21" t="s">
        <v>52</v>
      </c>
      <c r="K54" s="21">
        <v>140.0</v>
      </c>
      <c r="L54" s="21">
        <v>4999.0</v>
      </c>
      <c r="M54" s="21" t="s">
        <v>174</v>
      </c>
      <c r="N54" s="35"/>
      <c r="P54" s="7">
        <f>7571+7000</f>
        <v>14571</v>
      </c>
      <c r="Q54" s="7">
        <v>11272.0</v>
      </c>
    </row>
    <row r="55" ht="22.5" customHeight="1">
      <c r="J55" s="25" t="s">
        <v>88</v>
      </c>
      <c r="K55" s="21">
        <v>1310.3</v>
      </c>
      <c r="L55" s="21">
        <v>22998.0</v>
      </c>
      <c r="M55" s="21" t="s">
        <v>179</v>
      </c>
      <c r="N55" s="36"/>
      <c r="S55" s="26"/>
      <c r="T55" s="7" t="s">
        <v>181</v>
      </c>
    </row>
    <row r="56" ht="22.5" customHeight="1">
      <c r="J56" s="25" t="s">
        <v>90</v>
      </c>
      <c r="K56" s="21">
        <v>188.4</v>
      </c>
      <c r="L56" s="21">
        <v>14499.0</v>
      </c>
      <c r="M56" s="21" t="s">
        <v>179</v>
      </c>
      <c r="S56" s="7" t="s">
        <v>184</v>
      </c>
      <c r="T56" s="7">
        <v>25821.98</v>
      </c>
    </row>
    <row r="57" ht="22.5" customHeight="1">
      <c r="J57" s="21" t="s">
        <v>141</v>
      </c>
      <c r="K57" s="21">
        <v>398.9</v>
      </c>
      <c r="L57" s="21">
        <v>5999.0</v>
      </c>
      <c r="M57" s="21" t="s">
        <v>69</v>
      </c>
      <c r="S57" s="7" t="s">
        <v>187</v>
      </c>
      <c r="T57" s="7">
        <v>20000.0</v>
      </c>
    </row>
    <row r="58" ht="22.5" customHeight="1">
      <c r="J58" s="21" t="s">
        <v>188</v>
      </c>
      <c r="K58" s="21">
        <v>4.0</v>
      </c>
      <c r="L58" s="21">
        <v>16208.0</v>
      </c>
      <c r="M58" s="21" t="s">
        <v>179</v>
      </c>
      <c r="S58" s="7" t="s">
        <v>190</v>
      </c>
      <c r="T58" s="7">
        <v>74652.0</v>
      </c>
    </row>
    <row r="59" ht="22.5" customHeight="1">
      <c r="J59" s="21" t="s">
        <v>146</v>
      </c>
      <c r="K59" s="21">
        <v>15.0</v>
      </c>
      <c r="L59" s="21">
        <v>202298.0</v>
      </c>
      <c r="M59" s="21" t="s">
        <v>44</v>
      </c>
      <c r="T59" s="8">
        <f>T58-T56-T57</f>
        <v>28830.02</v>
      </c>
    </row>
    <row r="60" ht="22.5" customHeight="1">
      <c r="J60" s="25" t="s">
        <v>88</v>
      </c>
      <c r="K60" s="21"/>
      <c r="L60" s="21"/>
      <c r="M60" s="21" t="s">
        <v>179</v>
      </c>
    </row>
    <row r="61" ht="22.5" customHeight="1">
      <c r="J61" s="21" t="s">
        <v>57</v>
      </c>
      <c r="K61" s="21"/>
      <c r="L61" s="21"/>
      <c r="M61" s="21" t="s">
        <v>193</v>
      </c>
    </row>
    <row r="62" ht="22.5" customHeight="1">
      <c r="J62" s="25" t="s">
        <v>90</v>
      </c>
      <c r="K62" s="21"/>
      <c r="L62" s="21"/>
      <c r="M62" s="21" t="s">
        <v>179</v>
      </c>
      <c r="T62" s="7" t="s">
        <v>181</v>
      </c>
    </row>
    <row r="63" ht="22.5" customHeight="1">
      <c r="I63" s="40" t="s">
        <v>194</v>
      </c>
      <c r="J63" s="21" t="s">
        <v>154</v>
      </c>
      <c r="K63" s="21"/>
      <c r="L63" s="21">
        <v>15799.0</v>
      </c>
      <c r="M63" s="21" t="s">
        <v>155</v>
      </c>
      <c r="S63" s="3" t="s">
        <v>245</v>
      </c>
      <c r="T63" s="3">
        <v>15265.0</v>
      </c>
      <c r="U63" s="3" t="s">
        <v>246</v>
      </c>
      <c r="V63" s="3" t="s">
        <v>247</v>
      </c>
    </row>
    <row r="64" ht="22.5" customHeight="1">
      <c r="J64" s="21" t="s">
        <v>39</v>
      </c>
      <c r="K64" s="22"/>
      <c r="L64" s="21">
        <v>29998.0</v>
      </c>
      <c r="M64" s="21" t="s">
        <v>44</v>
      </c>
      <c r="S64" s="3" t="s">
        <v>248</v>
      </c>
      <c r="T64" s="3">
        <v>852.0</v>
      </c>
      <c r="U64" s="3" t="s">
        <v>246</v>
      </c>
    </row>
    <row r="65" ht="22.5" customHeight="1">
      <c r="J65" s="21" t="s">
        <v>46</v>
      </c>
      <c r="K65" s="22"/>
      <c r="L65" s="21">
        <v>36098.0</v>
      </c>
      <c r="M65" s="21" t="s">
        <v>44</v>
      </c>
      <c r="S65" s="3" t="s">
        <v>249</v>
      </c>
      <c r="T65" s="3">
        <v>7200.0</v>
      </c>
      <c r="U65" s="3" t="s">
        <v>246</v>
      </c>
    </row>
    <row r="66" ht="22.5" customHeight="1">
      <c r="J66" s="21" t="s">
        <v>166</v>
      </c>
      <c r="K66" s="21"/>
      <c r="L66" s="21">
        <v>24320.0</v>
      </c>
      <c r="M66" s="21" t="s">
        <v>167</v>
      </c>
    </row>
    <row r="67" ht="22.5" customHeight="1">
      <c r="J67" s="21" t="s">
        <v>42</v>
      </c>
      <c r="K67" s="21"/>
      <c r="L67" s="21">
        <v>61096.0</v>
      </c>
      <c r="M67" s="21" t="s">
        <v>44</v>
      </c>
      <c r="N67" s="36" t="s">
        <v>163</v>
      </c>
    </row>
    <row r="68" ht="22.5" customHeight="1">
      <c r="J68" s="21" t="s">
        <v>76</v>
      </c>
      <c r="K68" s="22"/>
      <c r="L68" s="21">
        <v>160991.0</v>
      </c>
      <c r="M68" s="21" t="s">
        <v>44</v>
      </c>
    </row>
    <row r="69" ht="22.5" customHeight="1">
      <c r="J69" s="21" t="s">
        <v>87</v>
      </c>
      <c r="K69" s="21"/>
      <c r="L69" s="21">
        <v>64996.0</v>
      </c>
      <c r="M69" s="21" t="s">
        <v>158</v>
      </c>
    </row>
    <row r="70" ht="22.5" customHeight="1">
      <c r="J70" s="21" t="s">
        <v>195</v>
      </c>
      <c r="K70" s="34"/>
      <c r="L70" s="34">
        <v>14999.0</v>
      </c>
      <c r="M70" s="34" t="s">
        <v>196</v>
      </c>
    </row>
    <row r="71" ht="22.5" customHeight="1">
      <c r="J71" s="21" t="s">
        <v>94</v>
      </c>
      <c r="K71" s="22"/>
      <c r="L71" s="21">
        <v>30698.0</v>
      </c>
      <c r="M71" s="21" t="s">
        <v>169</v>
      </c>
    </row>
    <row r="72" ht="22.5" customHeight="1">
      <c r="J72" s="21" t="s">
        <v>57</v>
      </c>
      <c r="K72" s="21"/>
      <c r="L72" s="21">
        <v>70996.0</v>
      </c>
      <c r="M72" s="21" t="s">
        <v>151</v>
      </c>
    </row>
    <row r="73" ht="22.5" customHeight="1">
      <c r="J73" s="21" t="s">
        <v>112</v>
      </c>
      <c r="K73" s="22"/>
      <c r="L73" s="22"/>
      <c r="M73" s="21" t="s">
        <v>211</v>
      </c>
    </row>
    <row r="74" ht="22.5" customHeight="1">
      <c r="J74" s="21" t="s">
        <v>170</v>
      </c>
      <c r="K74" s="21"/>
      <c r="L74" s="21">
        <v>4999.0</v>
      </c>
      <c r="M74" s="21" t="s">
        <v>69</v>
      </c>
      <c r="N74" s="42"/>
    </row>
    <row r="75" ht="22.5" customHeight="1">
      <c r="J75" s="25" t="s">
        <v>88</v>
      </c>
      <c r="K75" s="22"/>
      <c r="L75" s="21">
        <v>96995.0</v>
      </c>
      <c r="M75" s="21" t="s">
        <v>44</v>
      </c>
      <c r="N75" s="42"/>
    </row>
    <row r="76" ht="22.5" customHeight="1">
      <c r="J76" s="25" t="s">
        <v>90</v>
      </c>
      <c r="K76" s="22"/>
      <c r="L76" s="21">
        <v>69996.0</v>
      </c>
      <c r="M76" s="21" t="s">
        <v>179</v>
      </c>
      <c r="N76" s="42"/>
    </row>
    <row r="83">
      <c r="J83" s="9" t="s">
        <v>262</v>
      </c>
      <c r="K83" s="9" t="s">
        <v>10</v>
      </c>
      <c r="L83" s="10" t="s">
        <v>11</v>
      </c>
    </row>
    <row r="84">
      <c r="J84" s="3">
        <v>744229.0</v>
      </c>
      <c r="K84" s="3">
        <v>945373.0</v>
      </c>
      <c r="L84" s="12">
        <f>(K84-J84)/J84*100</f>
        <v>27.02716503</v>
      </c>
    </row>
    <row r="87">
      <c r="J87" s="43" t="s">
        <v>22</v>
      </c>
      <c r="K87" s="43" t="s">
        <v>23</v>
      </c>
      <c r="L87" s="43" t="s">
        <v>24</v>
      </c>
      <c r="M87" s="43" t="s">
        <v>125</v>
      </c>
    </row>
    <row r="88">
      <c r="J88" s="27" t="s">
        <v>175</v>
      </c>
      <c r="K88" s="27"/>
      <c r="L88" s="27">
        <v>31398.0</v>
      </c>
      <c r="M88" s="27" t="s">
        <v>176</v>
      </c>
    </row>
    <row r="89">
      <c r="J89" s="27" t="s">
        <v>183</v>
      </c>
      <c r="K89" s="27"/>
      <c r="L89" s="27">
        <v>140993.0</v>
      </c>
      <c r="M89" s="27" t="s">
        <v>185</v>
      </c>
    </row>
    <row r="90">
      <c r="J90" s="7" t="s">
        <v>191</v>
      </c>
      <c r="K90" s="7"/>
      <c r="L90" s="7">
        <v>15999.0</v>
      </c>
      <c r="M90" s="7" t="s">
        <v>192</v>
      </c>
    </row>
    <row r="95">
      <c r="J95" s="9" t="s">
        <v>262</v>
      </c>
      <c r="K95" s="9" t="s">
        <v>10</v>
      </c>
      <c r="L95" s="10" t="s">
        <v>11</v>
      </c>
    </row>
    <row r="96">
      <c r="J96" s="50">
        <v>414.24</v>
      </c>
      <c r="K96" s="50">
        <v>413.39</v>
      </c>
      <c r="L96" s="12">
        <f>(K96-J96)/J96*100</f>
        <v>-0.205195056</v>
      </c>
    </row>
    <row r="98">
      <c r="I98" s="3" t="s">
        <v>276</v>
      </c>
      <c r="J98" s="43" t="s">
        <v>277</v>
      </c>
      <c r="K98" s="43" t="s">
        <v>23</v>
      </c>
      <c r="L98" s="43" t="s">
        <v>24</v>
      </c>
      <c r="M98" s="43" t="s">
        <v>125</v>
      </c>
    </row>
    <row r="99">
      <c r="J99" s="7" t="s">
        <v>278</v>
      </c>
      <c r="K99" s="7">
        <v>0.8088</v>
      </c>
      <c r="L99" s="48">
        <v>306.62</v>
      </c>
      <c r="M99" s="26"/>
    </row>
    <row r="100">
      <c r="J100" s="7" t="s">
        <v>279</v>
      </c>
      <c r="K100" s="7">
        <v>0.327</v>
      </c>
      <c r="L100" s="48">
        <v>59.7</v>
      </c>
      <c r="M100" s="26"/>
    </row>
    <row r="101">
      <c r="J101" s="7" t="s">
        <v>280</v>
      </c>
      <c r="K101" s="7">
        <v>1.317</v>
      </c>
      <c r="L101" s="48">
        <v>43.85</v>
      </c>
      <c r="M101" s="26"/>
    </row>
    <row r="102">
      <c r="J102" s="7" t="s">
        <v>261</v>
      </c>
      <c r="K102" s="7">
        <v>0.0186</v>
      </c>
      <c r="L102" s="48">
        <v>4.07</v>
      </c>
      <c r="M102" s="26"/>
    </row>
  </sheetData>
  <mergeCells count="14">
    <mergeCell ref="P32:Q32"/>
    <mergeCell ref="P36:Q36"/>
    <mergeCell ref="P40:Q40"/>
    <mergeCell ref="P44:Q44"/>
    <mergeCell ref="J48:N48"/>
    <mergeCell ref="P48:Q48"/>
    <mergeCell ref="P52:Q52"/>
    <mergeCell ref="J1:N1"/>
    <mergeCell ref="T2:T7"/>
    <mergeCell ref="P9:Q9"/>
    <mergeCell ref="P14:Q14"/>
    <mergeCell ref="P18:Q18"/>
    <mergeCell ref="P23:Q23"/>
    <mergeCell ref="P28:Q28"/>
  </mergeCell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6.13"/>
    <col customWidth="1" min="4" max="4" width="12.63"/>
    <col customWidth="1" min="5" max="5" width="25.88"/>
    <col customWidth="1" min="10" max="10" width="34.25"/>
    <col customWidth="1" min="12" max="12" width="19.13"/>
    <col customWidth="1" min="13" max="13" width="37.13"/>
    <col customWidth="1" min="16" max="16" width="26.75"/>
    <col customWidth="1" min="17" max="17" width="13.0"/>
    <col customWidth="1" min="21" max="21" width="42.88"/>
  </cols>
  <sheetData>
    <row r="1">
      <c r="A1" s="1"/>
      <c r="B1" s="2" t="s">
        <v>0</v>
      </c>
      <c r="C1" s="2" t="s">
        <v>197</v>
      </c>
      <c r="D1" s="2" t="s">
        <v>1</v>
      </c>
      <c r="E1" s="2" t="s">
        <v>2</v>
      </c>
      <c r="G1" s="3" t="s">
        <v>3</v>
      </c>
      <c r="H1" s="3" t="s">
        <v>4</v>
      </c>
      <c r="J1" s="4" t="s">
        <v>5</v>
      </c>
      <c r="K1" s="5"/>
      <c r="L1" s="5"/>
      <c r="M1" s="5"/>
      <c r="N1" s="6"/>
    </row>
    <row r="2">
      <c r="A2" s="1"/>
      <c r="B2" s="13">
        <f>229061+B3-1592</f>
        <v>500269</v>
      </c>
      <c r="C2" s="13"/>
      <c r="D2" s="7">
        <f>281077+D3</f>
        <v>460585</v>
      </c>
      <c r="E2" s="26"/>
      <c r="F2" s="8">
        <f>B2-B3</f>
        <v>227469</v>
      </c>
      <c r="J2" s="9" t="s">
        <v>264</v>
      </c>
      <c r="K2" s="9" t="s">
        <v>10</v>
      </c>
      <c r="L2" s="10" t="s">
        <v>11</v>
      </c>
      <c r="M2" s="11"/>
      <c r="N2" s="11"/>
      <c r="T2" s="3" t="s">
        <v>12</v>
      </c>
      <c r="U2" s="3" t="s">
        <v>13</v>
      </c>
    </row>
    <row r="3">
      <c r="A3" s="2" t="s">
        <v>14</v>
      </c>
      <c r="B3" s="13">
        <v>272800.0</v>
      </c>
      <c r="C3" s="2"/>
      <c r="D3" s="2">
        <v>179508.0</v>
      </c>
      <c r="E3" s="2"/>
      <c r="F3" s="3">
        <v>53726.0</v>
      </c>
      <c r="H3" s="8">
        <f>-(B4+B8+B9+B10+B11+B14+D12+D10+D4)</f>
        <v>209500</v>
      </c>
      <c r="J3" s="20">
        <v>6066482.0</v>
      </c>
      <c r="K3" s="20">
        <v>8289814.0</v>
      </c>
      <c r="L3" s="12">
        <f>(K3-J3)/J3*100</f>
        <v>36.64944526</v>
      </c>
      <c r="M3" s="11"/>
      <c r="N3" s="11"/>
      <c r="U3" s="3" t="s">
        <v>16</v>
      </c>
      <c r="V3" s="3" t="s">
        <v>200</v>
      </c>
    </row>
    <row r="4">
      <c r="A4" s="13" t="s">
        <v>214</v>
      </c>
      <c r="B4" s="13">
        <v>-10000.0</v>
      </c>
      <c r="C4" s="13"/>
      <c r="D4" s="13"/>
      <c r="E4" s="26">
        <f>B20+B19+B18+B17+B11+B9+B7</f>
        <v>-251000</v>
      </c>
      <c r="F4" s="8">
        <f>-(B4)-D4</f>
        <v>10000</v>
      </c>
      <c r="M4" s="11"/>
      <c r="N4" s="11"/>
      <c r="U4" s="3" t="s">
        <v>20</v>
      </c>
    </row>
    <row r="5" ht="22.5" customHeight="1">
      <c r="A5" s="13" t="s">
        <v>201</v>
      </c>
      <c r="B5" s="13">
        <v>-2500.0</v>
      </c>
      <c r="C5" s="13"/>
      <c r="D5" s="1"/>
      <c r="E5" s="1">
        <f>229787-55000-2000</f>
        <v>172787</v>
      </c>
      <c r="F5" s="8">
        <f>-(B7)-D7</f>
        <v>154000</v>
      </c>
      <c r="J5" s="16" t="s">
        <v>22</v>
      </c>
      <c r="K5" s="16" t="s">
        <v>23</v>
      </c>
      <c r="L5" s="16" t="s">
        <v>24</v>
      </c>
      <c r="M5" s="17" t="s">
        <v>28</v>
      </c>
      <c r="N5" s="11"/>
      <c r="U5" s="3" t="s">
        <v>25</v>
      </c>
    </row>
    <row r="6" ht="22.5" customHeight="1">
      <c r="A6" s="13" t="s">
        <v>202</v>
      </c>
      <c r="B6" s="13">
        <v>0.0</v>
      </c>
      <c r="C6" s="13"/>
      <c r="D6" s="1"/>
      <c r="E6" s="13" t="s">
        <v>18</v>
      </c>
      <c r="F6" s="8">
        <f>-(B8)-D12</f>
        <v>71500</v>
      </c>
      <c r="G6" s="8">
        <f>5000+3000</f>
        <v>8000</v>
      </c>
      <c r="J6" s="21" t="s">
        <v>39</v>
      </c>
      <c r="K6" s="22"/>
      <c r="L6" s="22"/>
      <c r="M6" s="21" t="s">
        <v>44</v>
      </c>
      <c r="N6" s="11"/>
      <c r="U6" s="3" t="s">
        <v>29</v>
      </c>
    </row>
    <row r="7" ht="22.5" customHeight="1">
      <c r="A7" s="13" t="s">
        <v>21</v>
      </c>
      <c r="B7" s="13">
        <f>-81000</f>
        <v>-81000</v>
      </c>
      <c r="C7" s="13"/>
      <c r="D7" s="13">
        <v>-73000.0</v>
      </c>
      <c r="E7" s="13">
        <f>7000+3000+8000+10000+10000+50000+500</f>
        <v>88500</v>
      </c>
      <c r="F7" s="8">
        <f t="shared" ref="F7:F9" si="1">-(B9)-D9</f>
        <v>114500</v>
      </c>
      <c r="J7" s="21" t="s">
        <v>46</v>
      </c>
      <c r="K7" s="21"/>
      <c r="L7" s="21"/>
      <c r="M7" s="21" t="s">
        <v>44</v>
      </c>
      <c r="N7" s="11"/>
      <c r="V7" s="3" t="s">
        <v>35</v>
      </c>
    </row>
    <row r="8" ht="22.5" customHeight="1">
      <c r="A8" s="13" t="s">
        <v>26</v>
      </c>
      <c r="B8" s="13">
        <v>-25000.0</v>
      </c>
      <c r="C8" s="13"/>
      <c r="E8" s="13" t="s">
        <v>267</v>
      </c>
      <c r="F8" s="8">
        <f t="shared" si="1"/>
        <v>3000</v>
      </c>
      <c r="J8" s="25" t="s">
        <v>31</v>
      </c>
      <c r="K8" s="21"/>
      <c r="L8" s="21"/>
      <c r="M8" s="21" t="s">
        <v>59</v>
      </c>
      <c r="N8" s="20"/>
      <c r="U8" s="3" t="s">
        <v>40</v>
      </c>
    </row>
    <row r="9" ht="22.5" customHeight="1">
      <c r="A9" s="13" t="s">
        <v>72</v>
      </c>
      <c r="B9" s="13">
        <v>-110000.0</v>
      </c>
      <c r="C9" s="13"/>
      <c r="D9" s="13">
        <v>-4500.0</v>
      </c>
      <c r="E9" s="13" t="s">
        <v>207</v>
      </c>
      <c r="F9" s="8">
        <f t="shared" si="1"/>
        <v>8000</v>
      </c>
      <c r="J9" s="21" t="s">
        <v>38</v>
      </c>
      <c r="K9" s="21"/>
      <c r="L9" s="21"/>
      <c r="M9" s="21" t="s">
        <v>69</v>
      </c>
      <c r="P9" s="23" t="s">
        <v>43</v>
      </c>
      <c r="Q9" s="6"/>
    </row>
    <row r="10" ht="22.5" customHeight="1">
      <c r="A10" s="13" t="s">
        <v>36</v>
      </c>
      <c r="B10" s="13"/>
      <c r="C10" s="13"/>
      <c r="D10" s="13">
        <v>-3000.0</v>
      </c>
      <c r="E10" s="13">
        <f>B11+B16+B17+B18+B20+B7</f>
        <v>-141500</v>
      </c>
      <c r="J10" s="21" t="s">
        <v>42</v>
      </c>
      <c r="K10" s="21"/>
      <c r="L10" s="21"/>
      <c r="M10" s="21" t="s">
        <v>44</v>
      </c>
      <c r="P10" s="7" t="s">
        <v>49</v>
      </c>
      <c r="Q10" s="7" t="s">
        <v>50</v>
      </c>
    </row>
    <row r="11" ht="22.5" customHeight="1">
      <c r="A11" s="13" t="s">
        <v>225</v>
      </c>
      <c r="B11" s="13">
        <v>-7000.0</v>
      </c>
      <c r="C11" s="13" t="s">
        <v>209</v>
      </c>
      <c r="D11" s="13">
        <v>-1000.0</v>
      </c>
      <c r="E11" s="13" t="s">
        <v>207</v>
      </c>
      <c r="F11" s="8">
        <f t="shared" ref="F11:F16" si="2">-(B13)-D13</f>
        <v>18000</v>
      </c>
      <c r="J11" s="21" t="s">
        <v>76</v>
      </c>
      <c r="K11" s="22"/>
      <c r="L11" s="22"/>
      <c r="M11" s="21" t="s">
        <v>79</v>
      </c>
      <c r="P11" s="10">
        <v>0.0</v>
      </c>
      <c r="Q11" s="7">
        <v>0.0</v>
      </c>
    </row>
    <row r="12" ht="22.5" customHeight="1">
      <c r="A12" s="13" t="s">
        <v>45</v>
      </c>
      <c r="B12" s="13">
        <v>0.0</v>
      </c>
      <c r="C12" s="13"/>
      <c r="D12" s="13">
        <f>-34000-12500</f>
        <v>-46500</v>
      </c>
      <c r="E12" s="13"/>
      <c r="F12" s="8">
        <f t="shared" si="2"/>
        <v>8000</v>
      </c>
      <c r="J12" s="21" t="s">
        <v>210</v>
      </c>
      <c r="K12" s="22"/>
      <c r="L12" s="22"/>
      <c r="M12" s="21" t="s">
        <v>211</v>
      </c>
    </row>
    <row r="13" ht="22.5" customHeight="1">
      <c r="A13" s="13" t="s">
        <v>51</v>
      </c>
      <c r="B13" s="13">
        <v>-8000.0</v>
      </c>
      <c r="C13" s="13" t="s">
        <v>212</v>
      </c>
      <c r="D13" s="13">
        <v>-10000.0</v>
      </c>
      <c r="E13" s="13" t="s">
        <v>18</v>
      </c>
      <c r="F13" s="8">
        <f t="shared" si="2"/>
        <v>318</v>
      </c>
      <c r="J13" s="21" t="s">
        <v>47</v>
      </c>
      <c r="K13" s="21"/>
      <c r="L13" s="21"/>
      <c r="M13" s="21" t="s">
        <v>48</v>
      </c>
      <c r="U13" s="3" t="s">
        <v>60</v>
      </c>
    </row>
    <row r="14" ht="22.5" customHeight="1">
      <c r="A14" s="13" t="s">
        <v>53</v>
      </c>
      <c r="B14" s="13">
        <v>-8000.0</v>
      </c>
      <c r="C14" s="13" t="s">
        <v>213</v>
      </c>
      <c r="D14" s="13"/>
      <c r="E14" s="13" t="s">
        <v>18</v>
      </c>
      <c r="F14" s="8">
        <f t="shared" si="2"/>
        <v>500</v>
      </c>
      <c r="J14" s="21" t="s">
        <v>87</v>
      </c>
      <c r="K14" s="22"/>
      <c r="L14" s="22"/>
      <c r="M14" s="21" t="s">
        <v>92</v>
      </c>
      <c r="P14" s="23" t="s">
        <v>64</v>
      </c>
      <c r="Q14" s="6"/>
      <c r="R14" s="3" t="s">
        <v>65</v>
      </c>
      <c r="U14" s="3" t="s">
        <v>66</v>
      </c>
    </row>
    <row r="15" ht="22.5" customHeight="1">
      <c r="A15" s="13" t="s">
        <v>56</v>
      </c>
      <c r="B15" s="13">
        <v>-318.0</v>
      </c>
      <c r="C15" s="13" t="s">
        <v>18</v>
      </c>
      <c r="D15" s="1"/>
      <c r="E15" s="13"/>
      <c r="F15" s="8">
        <f t="shared" si="2"/>
        <v>3000</v>
      </c>
      <c r="G15" s="3">
        <v>100000.0</v>
      </c>
      <c r="J15" s="21" t="s">
        <v>215</v>
      </c>
      <c r="K15" s="22"/>
      <c r="L15" s="22"/>
      <c r="M15" s="21" t="s">
        <v>178</v>
      </c>
      <c r="P15" s="7" t="s">
        <v>71</v>
      </c>
      <c r="Q15" s="7" t="s">
        <v>50</v>
      </c>
      <c r="R15" s="3" t="s">
        <v>113</v>
      </c>
    </row>
    <row r="16" ht="22.5" customHeight="1">
      <c r="A16" s="13" t="s">
        <v>61</v>
      </c>
      <c r="B16" s="13">
        <v>-500.0</v>
      </c>
      <c r="C16" s="13" t="s">
        <v>18</v>
      </c>
      <c r="D16" s="13"/>
      <c r="E16" s="13"/>
      <c r="F16" s="8">
        <f t="shared" si="2"/>
        <v>30000</v>
      </c>
      <c r="J16" s="21" t="s">
        <v>94</v>
      </c>
      <c r="K16" s="22"/>
      <c r="L16" s="22"/>
      <c r="M16" s="21" t="s">
        <v>63</v>
      </c>
      <c r="P16" s="7">
        <v>357383.0</v>
      </c>
      <c r="Q16" s="7"/>
      <c r="R16" s="8">
        <f>P16-Q16</f>
        <v>357383</v>
      </c>
      <c r="S16" s="3" t="s">
        <v>74</v>
      </c>
      <c r="T16" s="3" t="s">
        <v>75</v>
      </c>
      <c r="U16" s="3">
        <f>460000+230000+Q16</f>
        <v>690000</v>
      </c>
    </row>
    <row r="17" ht="22.5" customHeight="1">
      <c r="A17" s="13" t="s">
        <v>67</v>
      </c>
      <c r="B17" s="13">
        <v>-3000.0</v>
      </c>
      <c r="C17" s="13" t="s">
        <v>216</v>
      </c>
      <c r="D17" s="1"/>
      <c r="E17" s="13" t="s">
        <v>207</v>
      </c>
      <c r="J17" s="21" t="s">
        <v>52</v>
      </c>
      <c r="K17" s="21"/>
      <c r="L17" s="21"/>
      <c r="M17" s="21" t="s">
        <v>48</v>
      </c>
      <c r="U17" s="8">
        <f>P16-U16</f>
        <v>-332617</v>
      </c>
    </row>
    <row r="18" ht="22.5" customHeight="1">
      <c r="A18" s="13" t="s">
        <v>217</v>
      </c>
      <c r="B18" s="13">
        <v>-30000.0</v>
      </c>
      <c r="C18" s="13" t="s">
        <v>219</v>
      </c>
      <c r="D18" s="1"/>
      <c r="E18" s="13" t="s">
        <v>207</v>
      </c>
      <c r="J18" s="21" t="s">
        <v>115</v>
      </c>
      <c r="K18" s="22"/>
      <c r="L18" s="22"/>
      <c r="M18" s="21" t="s">
        <v>118</v>
      </c>
      <c r="P18" s="23" t="s">
        <v>81</v>
      </c>
      <c r="Q18" s="6"/>
    </row>
    <row r="19" ht="22.5" customHeight="1">
      <c r="A19" s="13" t="s">
        <v>78</v>
      </c>
      <c r="B19" s="13"/>
      <c r="C19" s="13" t="s">
        <v>220</v>
      </c>
      <c r="D19" s="1"/>
      <c r="E19" s="13" t="s">
        <v>207</v>
      </c>
      <c r="J19" s="21" t="s">
        <v>54</v>
      </c>
      <c r="K19" s="21"/>
      <c r="L19" s="21"/>
      <c r="M19" s="21" t="s">
        <v>122</v>
      </c>
      <c r="P19" s="7" t="s">
        <v>71</v>
      </c>
      <c r="Q19" s="7" t="s">
        <v>50</v>
      </c>
    </row>
    <row r="20" ht="22.5" customHeight="1">
      <c r="A20" s="13" t="s">
        <v>221</v>
      </c>
      <c r="B20" s="13">
        <f>-5000-15000</f>
        <v>-20000</v>
      </c>
      <c r="C20" s="13" t="s">
        <v>222</v>
      </c>
      <c r="D20" s="13"/>
      <c r="E20" s="13" t="s">
        <v>207</v>
      </c>
      <c r="J20" s="21" t="s">
        <v>57</v>
      </c>
      <c r="K20" s="21"/>
      <c r="L20" s="21"/>
      <c r="M20" s="21" t="s">
        <v>58</v>
      </c>
      <c r="P20" s="3">
        <v>900.0</v>
      </c>
      <c r="Q20" s="3">
        <v>0.0</v>
      </c>
    </row>
    <row r="21" ht="22.5" customHeight="1">
      <c r="A21" s="13" t="s">
        <v>124</v>
      </c>
      <c r="B21" s="13"/>
      <c r="C21" s="13" t="s">
        <v>223</v>
      </c>
      <c r="D21" s="1"/>
      <c r="E21" s="13">
        <v>12500.0</v>
      </c>
      <c r="J21" s="25" t="s">
        <v>68</v>
      </c>
      <c r="K21" s="21"/>
      <c r="L21" s="21"/>
      <c r="M21" s="21" t="s">
        <v>70</v>
      </c>
      <c r="P21" s="20"/>
      <c r="Q21" s="20"/>
      <c r="R21" s="20"/>
      <c r="S21" s="20"/>
    </row>
    <row r="22" ht="22.5" customHeight="1">
      <c r="A22" s="13" t="s">
        <v>235</v>
      </c>
      <c r="B22" s="13"/>
      <c r="C22" s="13"/>
      <c r="D22" s="13">
        <v>0.0</v>
      </c>
      <c r="E22" s="1"/>
      <c r="J22" s="34" t="s">
        <v>62</v>
      </c>
      <c r="K22" s="21"/>
      <c r="L22" s="21"/>
      <c r="M22" s="21" t="s">
        <v>129</v>
      </c>
      <c r="P22" s="20"/>
      <c r="Q22" s="20"/>
      <c r="R22" s="20"/>
      <c r="S22" s="20"/>
    </row>
    <row r="23" ht="22.5" customHeight="1">
      <c r="A23" s="13" t="s">
        <v>86</v>
      </c>
      <c r="B23" s="1">
        <f>SUM(B3:B22)</f>
        <v>-32518</v>
      </c>
      <c r="C23" s="1"/>
      <c r="D23" s="1">
        <f>SUM(D3:D22)</f>
        <v>41508</v>
      </c>
      <c r="E23" s="1"/>
      <c r="J23" s="21" t="s">
        <v>73</v>
      </c>
      <c r="K23" s="21"/>
      <c r="L23" s="21"/>
      <c r="M23" s="21" t="s">
        <v>131</v>
      </c>
      <c r="P23" s="23" t="s">
        <v>91</v>
      </c>
      <c r="Q23" s="6"/>
      <c r="R23" s="20"/>
      <c r="S23" s="20"/>
    </row>
    <row r="24" ht="22.5" customHeight="1">
      <c r="J24" s="21" t="s">
        <v>77</v>
      </c>
      <c r="K24" s="21"/>
      <c r="L24" s="21"/>
      <c r="M24" s="21" t="s">
        <v>131</v>
      </c>
      <c r="P24" s="7" t="s">
        <v>71</v>
      </c>
      <c r="Q24" s="7" t="s">
        <v>50</v>
      </c>
      <c r="R24" s="20" t="s">
        <v>233</v>
      </c>
      <c r="S24" s="20"/>
    </row>
    <row r="25" ht="22.5" customHeight="1">
      <c r="J25" s="25" t="s">
        <v>134</v>
      </c>
      <c r="K25" s="21"/>
      <c r="L25" s="21"/>
      <c r="M25" s="21" t="s">
        <v>136</v>
      </c>
      <c r="P25" s="3">
        <f>109055+16000</f>
        <v>125055</v>
      </c>
      <c r="R25" s="20" t="s">
        <v>99</v>
      </c>
      <c r="S25" s="20" t="s">
        <v>100</v>
      </c>
      <c r="T25" s="3" t="s">
        <v>234</v>
      </c>
    </row>
    <row r="26" ht="22.5" customHeight="1">
      <c r="J26" s="25" t="s">
        <v>137</v>
      </c>
      <c r="K26" s="21"/>
      <c r="L26" s="21"/>
      <c r="M26" s="21" t="s">
        <v>131</v>
      </c>
      <c r="Q26" s="20"/>
      <c r="R26" s="20"/>
      <c r="S26" s="20"/>
    </row>
    <row r="27" ht="22.5" customHeight="1">
      <c r="J27" s="21" t="s">
        <v>112</v>
      </c>
      <c r="K27" s="22"/>
      <c r="L27" s="22"/>
      <c r="M27" s="21" t="s">
        <v>44</v>
      </c>
      <c r="Q27" s="20"/>
      <c r="R27" s="20"/>
      <c r="S27" s="20"/>
    </row>
    <row r="28" ht="22.5" customHeight="1">
      <c r="J28" s="25" t="s">
        <v>85</v>
      </c>
      <c r="K28" s="21"/>
      <c r="L28" s="21"/>
      <c r="M28" s="21" t="s">
        <v>131</v>
      </c>
      <c r="P28" s="23" t="s">
        <v>106</v>
      </c>
      <c r="Q28" s="6"/>
      <c r="R28" s="20" t="s">
        <v>108</v>
      </c>
      <c r="S28" s="20"/>
    </row>
    <row r="29" ht="22.5" customHeight="1">
      <c r="J29" s="25" t="s">
        <v>88</v>
      </c>
      <c r="K29" s="21"/>
      <c r="L29" s="21"/>
      <c r="M29" s="21" t="s">
        <v>131</v>
      </c>
      <c r="P29" s="7" t="s">
        <v>71</v>
      </c>
      <c r="Q29" s="7" t="s">
        <v>50</v>
      </c>
      <c r="R29" s="20"/>
      <c r="S29" s="20" t="s">
        <v>268</v>
      </c>
    </row>
    <row r="30" ht="22.5" customHeight="1">
      <c r="J30" s="21" t="s">
        <v>227</v>
      </c>
      <c r="K30" s="22"/>
      <c r="L30" s="22"/>
      <c r="M30" s="21" t="s">
        <v>228</v>
      </c>
      <c r="P30" s="7">
        <f>B2</f>
        <v>500269</v>
      </c>
      <c r="Q30" s="7"/>
      <c r="R30" s="20">
        <f>P30-Q30</f>
        <v>500269</v>
      </c>
      <c r="S30" s="20" t="s">
        <v>230</v>
      </c>
      <c r="T30" s="3" t="s">
        <v>269</v>
      </c>
    </row>
    <row r="31" ht="22.5" customHeight="1">
      <c r="J31" s="21" t="s">
        <v>89</v>
      </c>
      <c r="K31" s="21"/>
      <c r="L31" s="21"/>
      <c r="M31" s="21" t="s">
        <v>33</v>
      </c>
      <c r="Q31" s="20"/>
      <c r="R31" s="20"/>
      <c r="S31" s="20"/>
    </row>
    <row r="32" ht="22.5" customHeight="1">
      <c r="J32" s="25" t="s">
        <v>90</v>
      </c>
      <c r="K32" s="21"/>
      <c r="L32" s="21"/>
      <c r="M32" s="21" t="s">
        <v>131</v>
      </c>
      <c r="P32" s="23" t="s">
        <v>117</v>
      </c>
      <c r="Q32" s="6"/>
      <c r="R32" s="20"/>
      <c r="S32" s="20"/>
    </row>
    <row r="33" ht="22.5" customHeight="1">
      <c r="J33" s="21" t="s">
        <v>93</v>
      </c>
      <c r="K33" s="21"/>
      <c r="L33" s="37"/>
      <c r="M33" s="21" t="s">
        <v>150</v>
      </c>
      <c r="P33" s="7" t="s">
        <v>71</v>
      </c>
      <c r="Q33" s="7" t="s">
        <v>50</v>
      </c>
      <c r="R33" s="20"/>
      <c r="S33" s="20"/>
    </row>
    <row r="34" ht="22.5" customHeight="1">
      <c r="J34" s="38" t="s">
        <v>97</v>
      </c>
      <c r="K34" s="21"/>
      <c r="L34" s="37"/>
      <c r="M34" s="21" t="s">
        <v>131</v>
      </c>
      <c r="P34" s="7">
        <v>20555.0</v>
      </c>
      <c r="Q34" s="7"/>
      <c r="R34" s="3" t="s">
        <v>121</v>
      </c>
      <c r="S34" s="20"/>
    </row>
    <row r="35" ht="22.5" customHeight="1">
      <c r="J35" s="21" t="s">
        <v>103</v>
      </c>
      <c r="K35" s="21"/>
      <c r="L35" s="21"/>
      <c r="M35" s="21" t="s">
        <v>131</v>
      </c>
    </row>
    <row r="36" ht="22.5" customHeight="1">
      <c r="J36" s="25" t="s">
        <v>243</v>
      </c>
      <c r="K36" s="22"/>
      <c r="L36" s="37"/>
      <c r="M36" s="21" t="s">
        <v>270</v>
      </c>
      <c r="P36" s="23" t="s">
        <v>123</v>
      </c>
      <c r="Q36" s="6"/>
    </row>
    <row r="37" ht="22.5" customHeight="1">
      <c r="J37" s="25" t="s">
        <v>104</v>
      </c>
      <c r="K37" s="22"/>
      <c r="L37" s="37"/>
      <c r="M37" s="21" t="s">
        <v>131</v>
      </c>
      <c r="P37" s="7" t="s">
        <v>71</v>
      </c>
      <c r="Q37" s="7" t="s">
        <v>50</v>
      </c>
    </row>
    <row r="38">
      <c r="P38" s="7">
        <f>5000+15000</f>
        <v>20000</v>
      </c>
    </row>
    <row r="40">
      <c r="P40" s="23" t="s">
        <v>130</v>
      </c>
      <c r="Q40" s="6"/>
    </row>
    <row r="41">
      <c r="P41" s="7" t="s">
        <v>71</v>
      </c>
      <c r="Q41" s="7" t="s">
        <v>50</v>
      </c>
      <c r="R41" s="3" t="s">
        <v>271</v>
      </c>
      <c r="S41" s="3" t="s">
        <v>272</v>
      </c>
    </row>
    <row r="42">
      <c r="P42" s="3">
        <v>186802.0</v>
      </c>
      <c r="R42" s="3" t="s">
        <v>138</v>
      </c>
      <c r="S42" s="3" t="s">
        <v>241</v>
      </c>
    </row>
    <row r="44">
      <c r="P44" s="23" t="s">
        <v>145</v>
      </c>
      <c r="Q44" s="6"/>
    </row>
    <row r="45">
      <c r="P45" s="7" t="s">
        <v>71</v>
      </c>
      <c r="Q45" s="7" t="s">
        <v>50</v>
      </c>
      <c r="R45" s="3" t="s">
        <v>273</v>
      </c>
      <c r="T45" s="3" t="s">
        <v>242</v>
      </c>
    </row>
    <row r="46">
      <c r="P46" s="7">
        <f>D2</f>
        <v>460585</v>
      </c>
      <c r="Q46" s="7"/>
      <c r="R46" s="3" t="s">
        <v>148</v>
      </c>
      <c r="S46" s="3" t="s">
        <v>149</v>
      </c>
      <c r="T46" s="3" t="s">
        <v>239</v>
      </c>
    </row>
    <row r="48">
      <c r="J48" s="4" t="s">
        <v>119</v>
      </c>
      <c r="K48" s="5"/>
      <c r="L48" s="5"/>
      <c r="M48" s="5"/>
      <c r="N48" s="6"/>
      <c r="P48" s="23" t="s">
        <v>152</v>
      </c>
      <c r="Q48" s="6"/>
    </row>
    <row r="49">
      <c r="J49" s="9" t="s">
        <v>264</v>
      </c>
      <c r="K49" s="9" t="s">
        <v>10</v>
      </c>
      <c r="L49" s="10" t="s">
        <v>11</v>
      </c>
      <c r="M49" s="11"/>
      <c r="N49" s="11"/>
      <c r="P49" s="7" t="s">
        <v>71</v>
      </c>
      <c r="Q49" s="7" t="s">
        <v>50</v>
      </c>
      <c r="R49" s="3" t="s">
        <v>275</v>
      </c>
    </row>
    <row r="50">
      <c r="J50" s="3">
        <v>1388722.0</v>
      </c>
      <c r="K50" s="3">
        <v>1475814.0</v>
      </c>
      <c r="L50" s="12">
        <f>(K50-J50)/J50*100</f>
        <v>6.271377569</v>
      </c>
      <c r="M50" s="11"/>
      <c r="N50" s="11"/>
      <c r="P50" s="7">
        <f>77871-2308-585-2165-1592-252+167</f>
        <v>71136</v>
      </c>
      <c r="Q50" s="7"/>
      <c r="R50" s="3" t="s">
        <v>274</v>
      </c>
    </row>
    <row r="51">
      <c r="J51" s="11"/>
      <c r="K51" s="11"/>
      <c r="L51" s="11"/>
      <c r="M51" s="11"/>
      <c r="N51" s="11"/>
    </row>
    <row r="52" ht="22.5" customHeight="1">
      <c r="J52" s="16" t="s">
        <v>22</v>
      </c>
      <c r="K52" s="16" t="s">
        <v>23</v>
      </c>
      <c r="L52" s="16" t="s">
        <v>24</v>
      </c>
      <c r="M52" s="16" t="s">
        <v>125</v>
      </c>
      <c r="N52" s="33" t="s">
        <v>126</v>
      </c>
      <c r="P52" s="23" t="s">
        <v>160</v>
      </c>
      <c r="Q52" s="6"/>
    </row>
    <row r="53" ht="22.5" customHeight="1">
      <c r="I53" s="40" t="s">
        <v>173</v>
      </c>
      <c r="J53" s="21" t="s">
        <v>47</v>
      </c>
      <c r="K53" s="21">
        <v>9.9</v>
      </c>
      <c r="L53" s="21">
        <v>4999.0</v>
      </c>
      <c r="M53" s="21" t="s">
        <v>174</v>
      </c>
      <c r="N53" s="35"/>
      <c r="P53" s="7" t="s">
        <v>71</v>
      </c>
      <c r="Q53" s="7" t="s">
        <v>50</v>
      </c>
    </row>
    <row r="54" ht="22.5" customHeight="1">
      <c r="J54" s="21" t="s">
        <v>52</v>
      </c>
      <c r="K54" s="21">
        <v>140.0</v>
      </c>
      <c r="L54" s="21">
        <v>4999.0</v>
      </c>
      <c r="M54" s="21" t="s">
        <v>174</v>
      </c>
      <c r="N54" s="35"/>
      <c r="P54" s="7">
        <f>14288</f>
        <v>14288</v>
      </c>
      <c r="Q54" s="7"/>
    </row>
    <row r="55" ht="22.5" customHeight="1">
      <c r="J55" s="25" t="s">
        <v>88</v>
      </c>
      <c r="K55" s="21">
        <v>1310.3</v>
      </c>
      <c r="L55" s="21">
        <v>22998.0</v>
      </c>
      <c r="M55" s="21" t="s">
        <v>179</v>
      </c>
      <c r="N55" s="36"/>
      <c r="S55" s="26"/>
      <c r="T55" s="7" t="s">
        <v>181</v>
      </c>
    </row>
    <row r="56" ht="22.5" customHeight="1">
      <c r="J56" s="25" t="s">
        <v>90</v>
      </c>
      <c r="K56" s="21">
        <v>188.4</v>
      </c>
      <c r="L56" s="21">
        <v>14499.0</v>
      </c>
      <c r="M56" s="21" t="s">
        <v>179</v>
      </c>
      <c r="S56" s="7" t="s">
        <v>184</v>
      </c>
      <c r="T56" s="7">
        <v>25821.98</v>
      </c>
    </row>
    <row r="57" ht="22.5" customHeight="1">
      <c r="J57" s="21" t="s">
        <v>141</v>
      </c>
      <c r="K57" s="21">
        <v>398.9</v>
      </c>
      <c r="L57" s="21">
        <v>5999.0</v>
      </c>
      <c r="M57" s="21" t="s">
        <v>69</v>
      </c>
      <c r="S57" s="7" t="s">
        <v>187</v>
      </c>
      <c r="T57" s="7">
        <v>20000.0</v>
      </c>
    </row>
    <row r="58" ht="22.5" customHeight="1">
      <c r="J58" s="21" t="s">
        <v>188</v>
      </c>
      <c r="K58" s="21">
        <v>4.0</v>
      </c>
      <c r="L58" s="21">
        <v>16208.0</v>
      </c>
      <c r="M58" s="21" t="s">
        <v>179</v>
      </c>
      <c r="S58" s="7" t="s">
        <v>190</v>
      </c>
      <c r="T58" s="7">
        <v>74652.0</v>
      </c>
    </row>
    <row r="59" ht="22.5" customHeight="1">
      <c r="J59" s="21" t="s">
        <v>146</v>
      </c>
      <c r="K59" s="21">
        <v>15.0</v>
      </c>
      <c r="L59" s="21">
        <v>202298.0</v>
      </c>
      <c r="M59" s="21" t="s">
        <v>44</v>
      </c>
      <c r="T59" s="8">
        <f>T58-T56-T57</f>
        <v>28830.02</v>
      </c>
    </row>
    <row r="60" ht="22.5" customHeight="1">
      <c r="J60" s="25" t="s">
        <v>88</v>
      </c>
      <c r="K60" s="21"/>
      <c r="L60" s="21"/>
      <c r="M60" s="21" t="s">
        <v>179</v>
      </c>
    </row>
    <row r="61" ht="22.5" customHeight="1">
      <c r="J61" s="21" t="s">
        <v>57</v>
      </c>
      <c r="K61" s="21"/>
      <c r="L61" s="21"/>
      <c r="M61" s="21" t="s">
        <v>193</v>
      </c>
    </row>
    <row r="62" ht="22.5" customHeight="1">
      <c r="J62" s="25" t="s">
        <v>90</v>
      </c>
      <c r="K62" s="21"/>
      <c r="L62" s="21"/>
      <c r="M62" s="21" t="s">
        <v>179</v>
      </c>
      <c r="T62" s="7" t="s">
        <v>181</v>
      </c>
    </row>
    <row r="63" ht="22.5" customHeight="1">
      <c r="I63" s="40" t="s">
        <v>194</v>
      </c>
      <c r="J63" s="21" t="s">
        <v>154</v>
      </c>
      <c r="K63" s="21"/>
      <c r="L63" s="21">
        <v>15799.0</v>
      </c>
      <c r="M63" s="21" t="s">
        <v>155</v>
      </c>
      <c r="S63" s="3" t="s">
        <v>245</v>
      </c>
      <c r="T63" s="3">
        <v>15265.0</v>
      </c>
      <c r="U63" s="3" t="s">
        <v>246</v>
      </c>
      <c r="V63" s="3" t="s">
        <v>247</v>
      </c>
    </row>
    <row r="64" ht="22.5" customHeight="1">
      <c r="J64" s="21" t="s">
        <v>39</v>
      </c>
      <c r="K64" s="22"/>
      <c r="L64" s="21">
        <v>29998.0</v>
      </c>
      <c r="M64" s="21" t="s">
        <v>44</v>
      </c>
      <c r="S64" s="3" t="s">
        <v>248</v>
      </c>
      <c r="T64" s="3">
        <v>852.0</v>
      </c>
      <c r="U64" s="3" t="s">
        <v>246</v>
      </c>
    </row>
    <row r="65" ht="22.5" customHeight="1">
      <c r="J65" s="21" t="s">
        <v>46</v>
      </c>
      <c r="K65" s="22"/>
      <c r="L65" s="21">
        <v>36098.0</v>
      </c>
      <c r="M65" s="21" t="s">
        <v>44</v>
      </c>
      <c r="S65" s="3" t="s">
        <v>249</v>
      </c>
      <c r="T65" s="3">
        <v>7200.0</v>
      </c>
      <c r="U65" s="3" t="s">
        <v>246</v>
      </c>
    </row>
    <row r="66" ht="22.5" customHeight="1">
      <c r="J66" s="21" t="s">
        <v>166</v>
      </c>
      <c r="K66" s="21"/>
      <c r="L66" s="21">
        <v>24320.0</v>
      </c>
      <c r="M66" s="21" t="s">
        <v>167</v>
      </c>
    </row>
    <row r="67" ht="22.5" customHeight="1">
      <c r="J67" s="21" t="s">
        <v>42</v>
      </c>
      <c r="K67" s="21"/>
      <c r="L67" s="21">
        <v>61096.0</v>
      </c>
      <c r="M67" s="21" t="s">
        <v>44</v>
      </c>
      <c r="N67" s="36" t="s">
        <v>163</v>
      </c>
    </row>
    <row r="68" ht="22.5" customHeight="1">
      <c r="J68" s="21" t="s">
        <v>76</v>
      </c>
      <c r="K68" s="22"/>
      <c r="L68" s="21">
        <v>160991.0</v>
      </c>
      <c r="M68" s="21" t="s">
        <v>44</v>
      </c>
    </row>
    <row r="69" ht="22.5" customHeight="1">
      <c r="J69" s="21" t="s">
        <v>87</v>
      </c>
      <c r="K69" s="21"/>
      <c r="L69" s="21">
        <v>64996.0</v>
      </c>
      <c r="M69" s="21" t="s">
        <v>158</v>
      </c>
    </row>
    <row r="70" ht="22.5" customHeight="1">
      <c r="J70" s="21" t="s">
        <v>195</v>
      </c>
      <c r="K70" s="34"/>
      <c r="L70" s="34">
        <v>14999.0</v>
      </c>
      <c r="M70" s="34" t="s">
        <v>196</v>
      </c>
    </row>
    <row r="71" ht="22.5" customHeight="1">
      <c r="J71" s="21" t="s">
        <v>94</v>
      </c>
      <c r="K71" s="22"/>
      <c r="L71" s="21">
        <v>30698.0</v>
      </c>
      <c r="M71" s="21" t="s">
        <v>169</v>
      </c>
    </row>
    <row r="72" ht="22.5" customHeight="1">
      <c r="J72" s="21" t="s">
        <v>57</v>
      </c>
      <c r="K72" s="21"/>
      <c r="L72" s="21">
        <v>70996.0</v>
      </c>
      <c r="M72" s="21" t="s">
        <v>151</v>
      </c>
    </row>
    <row r="73" ht="22.5" customHeight="1">
      <c r="J73" s="21" t="s">
        <v>112</v>
      </c>
      <c r="K73" s="22"/>
      <c r="L73" s="22"/>
      <c r="M73" s="21" t="s">
        <v>211</v>
      </c>
    </row>
    <row r="74" ht="22.5" customHeight="1">
      <c r="J74" s="21" t="s">
        <v>170</v>
      </c>
      <c r="K74" s="21"/>
      <c r="L74" s="21">
        <v>4999.0</v>
      </c>
      <c r="M74" s="21" t="s">
        <v>69</v>
      </c>
      <c r="N74" s="42"/>
    </row>
    <row r="75" ht="22.5" customHeight="1">
      <c r="J75" s="25" t="s">
        <v>88</v>
      </c>
      <c r="K75" s="22"/>
      <c r="L75" s="21">
        <v>96995.0</v>
      </c>
      <c r="M75" s="21" t="s">
        <v>44</v>
      </c>
      <c r="N75" s="42"/>
    </row>
    <row r="76" ht="22.5" customHeight="1">
      <c r="J76" s="25" t="s">
        <v>90</v>
      </c>
      <c r="K76" s="22"/>
      <c r="L76" s="21">
        <v>69996.0</v>
      </c>
      <c r="M76" s="21" t="s">
        <v>179</v>
      </c>
      <c r="N76" s="42"/>
    </row>
    <row r="83">
      <c r="J83" s="9" t="s">
        <v>264</v>
      </c>
      <c r="K83" s="9" t="s">
        <v>10</v>
      </c>
      <c r="L83" s="10" t="s">
        <v>11</v>
      </c>
    </row>
    <row r="84">
      <c r="J84" s="3">
        <v>744229.0</v>
      </c>
      <c r="K84" s="3">
        <v>945373.0</v>
      </c>
      <c r="L84" s="12">
        <f>(K84-J84)/J84*100</f>
        <v>27.02716503</v>
      </c>
    </row>
    <row r="87">
      <c r="J87" s="43" t="s">
        <v>22</v>
      </c>
      <c r="K87" s="43" t="s">
        <v>23</v>
      </c>
      <c r="L87" s="43" t="s">
        <v>24</v>
      </c>
      <c r="M87" s="43" t="s">
        <v>125</v>
      </c>
    </row>
    <row r="88">
      <c r="J88" s="27" t="s">
        <v>175</v>
      </c>
      <c r="K88" s="27"/>
      <c r="L88" s="27">
        <v>31398.0</v>
      </c>
      <c r="M88" s="27" t="s">
        <v>176</v>
      </c>
    </row>
    <row r="89">
      <c r="J89" s="27" t="s">
        <v>183</v>
      </c>
      <c r="K89" s="27"/>
      <c r="L89" s="27">
        <v>140993.0</v>
      </c>
      <c r="M89" s="27" t="s">
        <v>185</v>
      </c>
    </row>
    <row r="90">
      <c r="J90" s="7" t="s">
        <v>191</v>
      </c>
      <c r="K90" s="7"/>
      <c r="L90" s="7">
        <v>15999.0</v>
      </c>
      <c r="M90" s="7" t="s">
        <v>192</v>
      </c>
    </row>
    <row r="95">
      <c r="J95" s="9" t="s">
        <v>264</v>
      </c>
      <c r="K95" s="9" t="s">
        <v>10</v>
      </c>
      <c r="L95" s="10" t="s">
        <v>11</v>
      </c>
    </row>
    <row r="96">
      <c r="J96" s="50">
        <v>414.24</v>
      </c>
      <c r="K96" s="50">
        <v>413.39</v>
      </c>
      <c r="L96" s="12">
        <f>(K96-J96)/J96*100</f>
        <v>-0.205195056</v>
      </c>
    </row>
    <row r="98">
      <c r="I98" s="3" t="s">
        <v>276</v>
      </c>
      <c r="J98" s="43" t="s">
        <v>277</v>
      </c>
      <c r="K98" s="43" t="s">
        <v>23</v>
      </c>
      <c r="L98" s="43" t="s">
        <v>24</v>
      </c>
      <c r="M98" s="43" t="s">
        <v>125</v>
      </c>
    </row>
    <row r="99">
      <c r="J99" s="7" t="s">
        <v>278</v>
      </c>
      <c r="K99" s="7">
        <v>0.8088</v>
      </c>
      <c r="L99" s="48">
        <v>306.62</v>
      </c>
      <c r="M99" s="26"/>
    </row>
    <row r="100">
      <c r="J100" s="7" t="s">
        <v>279</v>
      </c>
      <c r="K100" s="7">
        <v>0.327</v>
      </c>
      <c r="L100" s="48">
        <v>59.7</v>
      </c>
      <c r="M100" s="26"/>
    </row>
    <row r="101">
      <c r="J101" s="7" t="s">
        <v>280</v>
      </c>
      <c r="K101" s="7">
        <v>1.317</v>
      </c>
      <c r="L101" s="48">
        <v>43.85</v>
      </c>
      <c r="M101" s="26"/>
    </row>
    <row r="102">
      <c r="J102" s="7" t="s">
        <v>261</v>
      </c>
      <c r="K102" s="7">
        <v>0.0186</v>
      </c>
      <c r="L102" s="48">
        <v>4.07</v>
      </c>
      <c r="M102" s="26"/>
    </row>
  </sheetData>
  <mergeCells count="14">
    <mergeCell ref="P32:Q32"/>
    <mergeCell ref="P36:Q36"/>
    <mergeCell ref="P40:Q40"/>
    <mergeCell ref="P44:Q44"/>
    <mergeCell ref="J48:N48"/>
    <mergeCell ref="P48:Q48"/>
    <mergeCell ref="P52:Q52"/>
    <mergeCell ref="J1:N1"/>
    <mergeCell ref="T2:T7"/>
    <mergeCell ref="P9:Q9"/>
    <mergeCell ref="P14:Q14"/>
    <mergeCell ref="P18:Q18"/>
    <mergeCell ref="P23:Q23"/>
    <mergeCell ref="P28:Q28"/>
  </mergeCells>
  <drawing r:id="rId1"/>
  <tableParts count="2">
    <tablePart r:id="rId4"/>
    <tablePart r:id="rId5"/>
  </tableParts>
</worksheet>
</file>